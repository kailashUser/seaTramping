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Commodity Flows" sheetId="2" state="visible" r:id="rId4"/>
    <sheet name="Trade Lanes" sheetId="3" state="visible" r:id="rId5"/>
    <sheet name="Port Routes" sheetId="4" state="visible" r:id="rId6"/>
    <sheet name="SEA World Tra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<sst xmlns="http://schemas.openxmlformats.org/spreadsheetml/2006/main" count="467" uniqueCount="186">
  <si>
    <t xml:space="preserve">INTRA-SEA TRADE FLOW EXTRAPOLATION</t>
  </si>
  <si>
    <t xml:space="preserve">Methodology &amp; Assumptions</t>
  </si>
  <si>
    <t xml:space="preserve">DATA SOURCE</t>
  </si>
  <si>
    <t xml:space="preserve">AXS Marine / Alpha Bulk — voyage-level shipment data, 2020 to August 2024</t>
  </si>
  <si>
    <t xml:space="preserve">EXTRAPOLATION APPROACH</t>
  </si>
  <si>
    <t xml:space="preserve">1. The 2024 data covers January–August (8 of 12 months = 66.7% of year)</t>
  </si>
  <si>
    <t xml:space="preserve">2. Full-year 2024 estimated by dividing Jan-Aug actuals by 0.667 (simple pro-rata)</t>
  </si>
  <si>
    <t xml:space="preserve">3. 2025 projections apply commodity/lane-specific growth rates informed by public data</t>
  </si>
  <si>
    <t xml:space="preserve">4. All estimated figures shown in BLUE font to distinguish from actual AXS Marine data</t>
  </si>
  <si>
    <t xml:space="preserve">PUBLIC DATA SOURCES USED FOR VALIDATION</t>
  </si>
  <si>
    <t xml:space="preserve">• Ember Energy: Indonesia coal production &amp; export analysis (Nov 2025)</t>
  </si>
  <si>
    <t xml:space="preserve">• IEA: Indonesia coal outlook, projected 756Mt production in 2025</t>
  </si>
  <si>
    <t xml:space="preserve">• APBI-ICMA: Indonesia coal exports by destination 2025 — PH 38.5Mt, MY increased</t>
  </si>
  <si>
    <t xml:space="preserve">• Vietnam National Cement Association (VNCA): Cement &amp; clinker export data through Oct 2025</t>
  </si>
  <si>
    <t xml:space="preserve">  - Total exports 10M25: 29.9Mt (+18% YoY), clinker +44%, cement +5%</t>
  </si>
  <si>
    <t xml:space="preserve">  - Full year 2025: 37.3Mt (+25.6% YoY). Philippines ~5.15Mt cement + ~1Mt clinker</t>
  </si>
  <si>
    <t xml:space="preserve">• FINI (Indonesia Nickel Industry Forum): PH nickel ore imports 10.4Mt in 2024, ~15Mt in 2025</t>
  </si>
  <si>
    <t xml:space="preserve">• Bloomberg/DMCI: Philippine nickel ore shipments to Indonesia surge 5-10x</t>
  </si>
  <si>
    <t xml:space="preserve">• Kpler: Indonesia thermal coal exports Jan-Apr 2025 down 12% YoY</t>
  </si>
  <si>
    <t xml:space="preserve">• TradeInt: Indonesia H1 2025 coal exports — MY $1.98B, PH $1.90B, VN $1.36B</t>
  </si>
  <si>
    <t xml:space="preserve">LIMITATIONS &amp; CAVEATS</t>
  </si>
  <si>
    <t xml:space="preserve">• Pro-rata annualization assumes even distribution — some commodities are seasonal</t>
  </si>
  <si>
    <t xml:space="preserve">• 2025 growth rates are best estimates; actual may vary ±10-15%</t>
  </si>
  <si>
    <t xml:space="preserve">• AXS Marine data captures Handymax+ vessels; smaller coastal shipments may be excluded</t>
  </si>
  <si>
    <t xml:space="preserve">• Figures in BLUE are ESTIMATES, not actual shipment data</t>
  </si>
  <si>
    <t xml:space="preserve">Commodity</t>
  </si>
  <si>
    <t xml:space="preserve">2020 (Actual)</t>
  </si>
  <si>
    <t xml:space="preserve">2021 (Actual)</t>
  </si>
  <si>
    <t xml:space="preserve">2022 (Actual)</t>
  </si>
  <si>
    <t xml:space="preserve">2023 (Actual)</t>
  </si>
  <si>
    <t xml:space="preserve">2024 Jan-Aug (Actual)</t>
  </si>
  <si>
    <t xml:space="preserve">2024 Full Year (Est.)</t>
  </si>
  <si>
    <t xml:space="preserve">2025 (Est.)</t>
  </si>
  <si>
    <t xml:space="preserve">CAGR 2020-23</t>
  </si>
  <si>
    <t xml:space="preserve">2025 Growth Rate</t>
  </si>
  <si>
    <t xml:space="preserve">Validation Notes</t>
  </si>
  <si>
    <t xml:space="preserve">Steam Coal</t>
  </si>
  <si>
    <t xml:space="preserve">Ember/IEA: Indo coal exports -10% overall in 2025, but ASEAN share growing. Net intra-SEA ~-5%</t>
  </si>
  <si>
    <t xml:space="preserve">Clinker</t>
  </si>
  <si>
    <t xml:space="preserve">Vietnam clinker exports +44% YoY in 10M25. Philippines main destination. Strong growth.</t>
  </si>
  <si>
    <t xml:space="preserve">Cement</t>
  </si>
  <si>
    <t xml:space="preserve">Vietnam cement exports +5% YoY in 10M25. Philippines &amp; Singapore key markets.</t>
  </si>
  <si>
    <t xml:space="preserve">Nickel Ore</t>
  </si>
  <si>
    <t xml:space="preserve">FINI: PH-&gt;ID 10.4Mt in 2024, projected 15Mt in 2025. Tenfold surge from 2023.</t>
  </si>
  <si>
    <t xml:space="preserve">Sugar</t>
  </si>
  <si>
    <t xml:space="preserve">Relatively stable. Thai sugar exports seasonal. Flat growth assumed.</t>
  </si>
  <si>
    <t xml:space="preserve">Steels</t>
  </si>
  <si>
    <t xml:space="preserve">Chinese steel oversupply pressuring intra-SEA trade. Slight decline.</t>
  </si>
  <si>
    <t xml:space="preserve">Iron Ore</t>
  </si>
  <si>
    <t xml:space="preserve">Malaysian iron ore to Indonesia steady. Modest growth.</t>
  </si>
  <si>
    <t xml:space="preserve">Wood Chips</t>
  </si>
  <si>
    <t xml:space="preserve">Vietnam wood chip exports strong. Biomass demand growing in region.</t>
  </si>
  <si>
    <t xml:space="preserve">Palm Kernel Expeller</t>
  </si>
  <si>
    <t xml:space="preserve">Stable commodity flow. Malaysia/Indonesia to regional markets.</t>
  </si>
  <si>
    <t xml:space="preserve">Urea</t>
  </si>
  <si>
    <t xml:space="preserve">Indonesian urea to regional ag markets. Stable.</t>
  </si>
  <si>
    <t xml:space="preserve">Alumina</t>
  </si>
  <si>
    <t xml:space="preserve">Indonesian alumina refining growth driving intra-SEA flows.</t>
  </si>
  <si>
    <t xml:space="preserve">Rice</t>
  </si>
  <si>
    <t xml:space="preserve">Vietnam/Thailand rice exports. Volatile but trending up from 2023 surge.</t>
  </si>
  <si>
    <t xml:space="preserve">Aggregates</t>
  </si>
  <si>
    <t xml:space="preserve">Volatile. Flat assumed.</t>
  </si>
  <si>
    <t xml:space="preserve">Sands</t>
  </si>
  <si>
    <t xml:space="preserve">Highly volatile. Flat assumed.</t>
  </si>
  <si>
    <t xml:space="preserve">Limestone</t>
  </si>
  <si>
    <t xml:space="preserve">Declining trend. Slight negative.</t>
  </si>
  <si>
    <t xml:space="preserve">Coking Coal</t>
  </si>
  <si>
    <t xml:space="preserve">Steel sector demand in Vietnam/Indonesia. Moderate growth.</t>
  </si>
  <si>
    <t xml:space="preserve">Slag</t>
  </si>
  <si>
    <t xml:space="preserve">Emerging flow, construction material. Growing.</t>
  </si>
  <si>
    <t xml:space="preserve">Corn</t>
  </si>
  <si>
    <t xml:space="preserve">Feed demand growing in SEA livestock sector.</t>
  </si>
  <si>
    <t xml:space="preserve">Gypsum</t>
  </si>
  <si>
    <t xml:space="preserve">Construction material demand. Moderate growth.</t>
  </si>
  <si>
    <t xml:space="preserve">Wire Rod</t>
  </si>
  <si>
    <t xml:space="preserve">Declining trend from 2020 peak.</t>
  </si>
  <si>
    <t xml:space="preserve">Bulk Fertilizers</t>
  </si>
  <si>
    <t xml:space="preserve">Agricultural demand steady.</t>
  </si>
  <si>
    <t xml:space="preserve">Woodpulp</t>
  </si>
  <si>
    <t xml:space="preserve">Paper/packaging demand.</t>
  </si>
  <si>
    <t xml:space="preserve">HBI - Hot Briquetted Iron</t>
  </si>
  <si>
    <t xml:space="preserve">Steel sector input.</t>
  </si>
  <si>
    <t xml:space="preserve">Copper Concentrate</t>
  </si>
  <si>
    <t xml:space="preserve">Mining sector flows.</t>
  </si>
  <si>
    <t xml:space="preserve">Cement/Clinker</t>
  </si>
  <si>
    <t xml:space="preserve">Combined flows. Growing with construction.</t>
  </si>
  <si>
    <t xml:space="preserve">TOTAL INTRA-SEA</t>
  </si>
  <si>
    <t xml:space="preserve">Origin</t>
  </si>
  <si>
    <t xml:space="preserve">Destination</t>
  </si>
  <si>
    <t xml:space="preserve">Key Commodities on Route</t>
  </si>
  <si>
    <t xml:space="preserve">Indonesia</t>
  </si>
  <si>
    <t xml:space="preserve">Philippines</t>
  </si>
  <si>
    <t xml:space="preserve">Steam Coal (145,926,218t); Nickel Ore (1,722,898t); Clinker (1,429,871t)</t>
  </si>
  <si>
    <t xml:space="preserve">Malaysia</t>
  </si>
  <si>
    <t xml:space="preserve">Steam Coal (108,130,140t); Alumina (3,346,226t); Nickel Ore (1,029,693t)</t>
  </si>
  <si>
    <t xml:space="preserve">Vietnam</t>
  </si>
  <si>
    <t xml:space="preserve">Steam Coal (62,812,598t); Palm Kernel Expeller (1,290,994t); Coking Coal (1,224,946t)</t>
  </si>
  <si>
    <t xml:space="preserve">Thailand</t>
  </si>
  <si>
    <t xml:space="preserve">Steam Coal (61,603,178t); Palm Kernel Expeller (649,338t); Nickel Ore (582,270t)</t>
  </si>
  <si>
    <t xml:space="preserve">Clinker (17,870,589t); Cement (6,492,097t); Steels (1,068,732t)</t>
  </si>
  <si>
    <t xml:space="preserve">Singapore</t>
  </si>
  <si>
    <t xml:space="preserve">Wood Chips (5,035,978t); Cement (2,394,578t); Aggregates (1,919,006t)</t>
  </si>
  <si>
    <t xml:space="preserve">Cambodia</t>
  </si>
  <si>
    <t xml:space="preserve">Steam Coal (9,780,688t); Clinker (53,224t); Woodpulp (14,753t)</t>
  </si>
  <si>
    <t xml:space="preserve">Sugar (7,419,521t); Rice (1,089,742t); Wood Chips (263,916t)</t>
  </si>
  <si>
    <t xml:space="preserve">Clinker (3,015,310t); Steels (2,313,290t); Cement (1,898,972t)</t>
  </si>
  <si>
    <t xml:space="preserve">Clinker (2,557,198t); Wood Chips (1,902,290t); Steels (1,442,642t)</t>
  </si>
  <si>
    <t xml:space="preserve">Nickel Ore (5,862,502t); Limestone (495,114t); Steam Coal (127,304t)</t>
  </si>
  <si>
    <t xml:space="preserve">Iron Ore (4,540,253t); Palm Kernel Expeller (408,143t); HBI - Hot Briquetted Iron (383,475t)</t>
  </si>
  <si>
    <t xml:space="preserve">Iron Ore (2,809,180t); HBI - Hot Briquetted Iron (398,944t); Palm Kernel Expeller (211,670t)</t>
  </si>
  <si>
    <t xml:space="preserve">Steam Coal (2,678,644t); Cement (926,745t); Nickel Ore (68,080t)</t>
  </si>
  <si>
    <t xml:space="preserve">Urea (1,054,609t); Palm Kernel Expeller (545,401t); Steels (484,099t)</t>
  </si>
  <si>
    <t xml:space="preserve">Urea (852,506t); Palm Kernel Expeller (659,781t); Steels (478,351t)</t>
  </si>
  <si>
    <t xml:space="preserve">Clinker (651,057t); Steels (503,153t); Sugar (393,154t)</t>
  </si>
  <si>
    <t xml:space="preserve">Sands (1,401,217t); Iron Ore (894,185t); Nickel Ore (106,880t)</t>
  </si>
  <si>
    <t xml:space="preserve">Cement (1,866,419t); Manganese Ore (42,574t); Wire Rod (41,860t)</t>
  </si>
  <si>
    <t xml:space="preserve">Sugar (967,813t); Gypsum (164,221t); Steels (138,506t)</t>
  </si>
  <si>
    <t xml:space="preserve">Load Country</t>
  </si>
  <si>
    <t xml:space="preserve">Load Port</t>
  </si>
  <si>
    <t xml:space="preserve">Disch Country</t>
  </si>
  <si>
    <t xml:space="preserve">Disch Port</t>
  </si>
  <si>
    <t xml:space="preserve">2020</t>
  </si>
  <si>
    <t xml:space="preserve">2021</t>
  </si>
  <si>
    <t xml:space="preserve">2022</t>
  </si>
  <si>
    <t xml:space="preserve">2023</t>
  </si>
  <si>
    <t xml:space="preserve">2024 (Jan-Aug)</t>
  </si>
  <si>
    <t xml:space="preserve">Total 2020-2024</t>
  </si>
  <si>
    <t xml:space="preserve">Taboneo - Banjarmasin</t>
  </si>
  <si>
    <t xml:space="preserve">Lumut (Malaysia)</t>
  </si>
  <si>
    <t xml:space="preserve">Balikpapan</t>
  </si>
  <si>
    <t xml:space="preserve">Limay</t>
  </si>
  <si>
    <t xml:space="preserve">Port Dickson</t>
  </si>
  <si>
    <t xml:space="preserve">Muara Berau</t>
  </si>
  <si>
    <t xml:space="preserve">Koh Sichang</t>
  </si>
  <si>
    <t xml:space="preserve">Mariveles</t>
  </si>
  <si>
    <t xml:space="preserve">Tanjung Pelepas</t>
  </si>
  <si>
    <t xml:space="preserve">Quezon</t>
  </si>
  <si>
    <t xml:space="preserve">Adang Bay</t>
  </si>
  <si>
    <t xml:space="preserve">Map Ta Phut</t>
  </si>
  <si>
    <t xml:space="preserve">Pagbilao</t>
  </si>
  <si>
    <t xml:space="preserve">Samarinda</t>
  </si>
  <si>
    <t xml:space="preserve">Kauswagan</t>
  </si>
  <si>
    <t xml:space="preserve">Muara Pantai</t>
  </si>
  <si>
    <t xml:space="preserve">Toledo (Philippines)</t>
  </si>
  <si>
    <t xml:space="preserve">Teluk Rubiah</t>
  </si>
  <si>
    <t xml:space="preserve">Bahudopi</t>
  </si>
  <si>
    <t xml:space="preserve">Bunyu</t>
  </si>
  <si>
    <t xml:space="preserve">Malita</t>
  </si>
  <si>
    <t xml:space="preserve">Muara Banyuasin</t>
  </si>
  <si>
    <t xml:space="preserve">Tanjung Bara CT</t>
  </si>
  <si>
    <t xml:space="preserve">Binh Thuan (Vinh Tan)</t>
  </si>
  <si>
    <t xml:space="preserve">Dung Quat</t>
  </si>
  <si>
    <t xml:space="preserve">Asam Asam</t>
  </si>
  <si>
    <t xml:space="preserve">Sangkulirang</t>
  </si>
  <si>
    <t xml:space="preserve">Vissai International Port</t>
  </si>
  <si>
    <t xml:space="preserve">Ha Long</t>
  </si>
  <si>
    <t xml:space="preserve">Davao</t>
  </si>
  <si>
    <t xml:space="preserve">Sihanoukville</t>
  </si>
  <si>
    <t xml:space="preserve">Cai Mep</t>
  </si>
  <si>
    <t xml:space="preserve">Pulau Laut</t>
  </si>
  <si>
    <t xml:space="preserve">Iloilo City</t>
  </si>
  <si>
    <t xml:space="preserve">Tanah Kuning</t>
  </si>
  <si>
    <t xml:space="preserve">Go Gia</t>
  </si>
  <si>
    <t xml:space="preserve">Masinloc</t>
  </si>
  <si>
    <t xml:space="preserve">Phuoc An</t>
  </si>
  <si>
    <t xml:space="preserve">Bontang</t>
  </si>
  <si>
    <t xml:space="preserve">Tarakan Island</t>
  </si>
  <si>
    <t xml:space="preserve">Sual (Lingayen bay)</t>
  </si>
  <si>
    <t xml:space="preserve">SEA EXPORTS TO WORLD (excl. Intra-SEA) — Top 20 Commodities</t>
  </si>
  <si>
    <t xml:space="preserve">Total Volume (tonnes)</t>
  </si>
  <si>
    <t xml:space="preserve">Share of Total</t>
  </si>
  <si>
    <t xml:space="preserve">Bauxite</t>
  </si>
  <si>
    <t xml:space="preserve">Iron Ore Sinter</t>
  </si>
  <si>
    <t xml:space="preserve">Wood Pellets</t>
  </si>
  <si>
    <t xml:space="preserve">Palm Kernel Shell</t>
  </si>
  <si>
    <t xml:space="preserve">SEA IMPORTS FROM WORLD (excl. Intra-SEA) — Top 20 Commodities</t>
  </si>
  <si>
    <t xml:space="preserve">Wheat</t>
  </si>
  <si>
    <t xml:space="preserve">Soybean Meal</t>
  </si>
  <si>
    <t xml:space="preserve">Soybeans</t>
  </si>
  <si>
    <t xml:space="preserve">Muriate Of Potash</t>
  </si>
  <si>
    <t xml:space="preserve">Salt</t>
  </si>
  <si>
    <t xml:space="preserve">Scrap</t>
  </si>
  <si>
    <t xml:space="preserve">Phosphate Rock</t>
  </si>
  <si>
    <t xml:space="preserve">MetCoke</t>
  </si>
  <si>
    <t xml:space="preserve">Sulphur</t>
  </si>
  <si>
    <t xml:space="preserve">Soda 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</si>
</sst>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65"/>
  </cols>
  <sheetData>
    <row r="1" customFormat="false" ht="26.8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customFormat="false" ht="15" hidden="false" customHeight="false" outlineLevel="0" collapsed="false">
      <c r="A2" s="5" t="s">
        <v>36</v>
      </c>
      <c r="B2" s="6" t="n">
        <v>84487049</v>
      </c>
      <c r="C2" s="6" t="n">
        <v>78759705</v>
      </c>
      <c r="D2" s="6" t="n">
        <v>74564452</v>
      </c>
      <c r="E2" s="6" t="n">
        <v>86103554</v>
      </c>
      <c r="F2" s="7" t="n">
        <v>69687283</v>
      </c>
      <c r="G2" s="8" t="n">
        <v>104478685</v>
      </c>
      <c r="H2" s="8" t="n">
        <v>99254751</v>
      </c>
      <c r="I2" s="9" t="n">
        <v>0.00633747462214829</v>
      </c>
      <c r="J2" s="10" t="n">
        <v>-0.05</v>
      </c>
      <c r="K2" s="11" t="s">
        <v>37</v>
      </c>
    </row>
    <row r="3" customFormat="false" ht="15" hidden="false" customHeight="false" outlineLevel="0" collapsed="false">
      <c r="A3" s="5" t="s">
        <v>38</v>
      </c>
      <c r="B3" s="6" t="n">
        <v>5067253</v>
      </c>
      <c r="C3" s="6" t="n">
        <v>4713182</v>
      </c>
      <c r="D3" s="6" t="n">
        <v>5785340</v>
      </c>
      <c r="E3" s="6" t="n">
        <v>6502445</v>
      </c>
      <c r="F3" s="7" t="n">
        <v>5393106</v>
      </c>
      <c r="G3" s="8" t="n">
        <v>8085616</v>
      </c>
      <c r="H3" s="8" t="n">
        <v>9298459</v>
      </c>
      <c r="I3" s="9" t="n">
        <v>0.0866792299516996</v>
      </c>
      <c r="J3" s="9" t="n">
        <v>0.15</v>
      </c>
      <c r="K3" s="11" t="s">
        <v>39</v>
      </c>
    </row>
    <row r="4" customFormat="false" ht="15" hidden="false" customHeight="false" outlineLevel="0" collapsed="false">
      <c r="A4" s="5" t="s">
        <v>40</v>
      </c>
      <c r="B4" s="6" t="n">
        <v>2660565</v>
      </c>
      <c r="C4" s="6" t="n">
        <v>3205135</v>
      </c>
      <c r="D4" s="6" t="n">
        <v>3849677</v>
      </c>
      <c r="E4" s="6" t="n">
        <v>4158602</v>
      </c>
      <c r="F4" s="7" t="n">
        <v>2096295</v>
      </c>
      <c r="G4" s="8" t="n">
        <v>3142871</v>
      </c>
      <c r="H4" s="8" t="n">
        <v>3457158</v>
      </c>
      <c r="I4" s="9" t="n">
        <v>0.160533892375209</v>
      </c>
      <c r="J4" s="9" t="n">
        <v>0.1</v>
      </c>
      <c r="K4" s="11" t="s">
        <v>41</v>
      </c>
    </row>
    <row r="5" customFormat="false" ht="15" hidden="false" customHeight="false" outlineLevel="0" collapsed="false">
      <c r="A5" s="5" t="s">
        <v>42</v>
      </c>
      <c r="B5" s="6" t="n">
        <v>254449</v>
      </c>
      <c r="C5" s="6" t="n">
        <v>1151325</v>
      </c>
      <c r="D5" s="6" t="n">
        <v>1349622</v>
      </c>
      <c r="E5" s="6" t="n">
        <v>1913700</v>
      </c>
      <c r="F5" s="7" t="n">
        <v>6144878</v>
      </c>
      <c r="G5" s="8" t="n">
        <v>9212711</v>
      </c>
      <c r="H5" s="8" t="n">
        <v>13358430</v>
      </c>
      <c r="I5" s="9" t="n">
        <v>0.959255326608189</v>
      </c>
      <c r="J5" s="9" t="n">
        <v>0.45</v>
      </c>
      <c r="K5" s="11" t="s">
        <v>43</v>
      </c>
    </row>
    <row r="6" customFormat="false" ht="15" hidden="false" customHeight="false" outlineLevel="0" collapsed="false">
      <c r="A6" s="5" t="s">
        <v>44</v>
      </c>
      <c r="B6" s="6" t="n">
        <v>2036773</v>
      </c>
      <c r="C6" s="6" t="n">
        <v>1148208</v>
      </c>
      <c r="D6" s="6" t="n">
        <v>2747075</v>
      </c>
      <c r="E6" s="6" t="n">
        <v>2652709</v>
      </c>
      <c r="F6" s="7" t="n">
        <v>1155210</v>
      </c>
      <c r="G6" s="8" t="n">
        <v>1731949</v>
      </c>
      <c r="H6" s="8" t="n">
        <v>1731949</v>
      </c>
      <c r="I6" s="9" t="n">
        <v>0.092066270897005</v>
      </c>
      <c r="J6" s="9" t="n">
        <v>0</v>
      </c>
      <c r="K6" s="11" t="s">
        <v>45</v>
      </c>
    </row>
    <row r="7" customFormat="false" ht="15" hidden="false" customHeight="false" outlineLevel="0" collapsed="false">
      <c r="A7" s="5" t="s">
        <v>46</v>
      </c>
      <c r="B7" s="6" t="n">
        <v>2305824</v>
      </c>
      <c r="C7" s="6" t="n">
        <v>2209317</v>
      </c>
      <c r="D7" s="6" t="n">
        <v>1895555</v>
      </c>
      <c r="E7" s="6" t="n">
        <v>2037619</v>
      </c>
      <c r="F7" s="7" t="n">
        <v>1268874</v>
      </c>
      <c r="G7" s="8" t="n">
        <v>1902360</v>
      </c>
      <c r="H7" s="8" t="n">
        <v>1845289</v>
      </c>
      <c r="I7" s="10" t="n">
        <v>-0.040380770354908</v>
      </c>
      <c r="J7" s="10" t="n">
        <v>-0.03</v>
      </c>
      <c r="K7" s="11" t="s">
        <v>47</v>
      </c>
    </row>
    <row r="8" customFormat="false" ht="15" hidden="false" customHeight="false" outlineLevel="0" collapsed="false">
      <c r="A8" s="5" t="s">
        <v>48</v>
      </c>
      <c r="B8" s="6" t="n">
        <v>1566901</v>
      </c>
      <c r="C8" s="6" t="n">
        <v>2578356</v>
      </c>
      <c r="D8" s="6" t="n">
        <v>2135301</v>
      </c>
      <c r="E8" s="6" t="n">
        <v>1158283</v>
      </c>
      <c r="F8" s="7" t="n">
        <v>1163560</v>
      </c>
      <c r="G8" s="8" t="n">
        <v>1744468</v>
      </c>
      <c r="H8" s="8" t="n">
        <v>1831691</v>
      </c>
      <c r="I8" s="10" t="n">
        <v>-0.09581414603771</v>
      </c>
      <c r="J8" s="9" t="n">
        <v>0.05</v>
      </c>
      <c r="K8" s="11" t="s">
        <v>49</v>
      </c>
    </row>
    <row r="9" customFormat="false" ht="15" hidden="false" customHeight="false" outlineLevel="0" collapsed="false">
      <c r="A9" s="5" t="s">
        <v>50</v>
      </c>
      <c r="B9" s="6" t="n">
        <v>784606</v>
      </c>
      <c r="C9" s="6" t="n">
        <v>619849</v>
      </c>
      <c r="D9" s="6" t="n">
        <v>1780297</v>
      </c>
      <c r="E9" s="6" t="n">
        <v>2524802</v>
      </c>
      <c r="F9" s="7" t="n">
        <v>2365326</v>
      </c>
      <c r="G9" s="8" t="n">
        <v>3546216</v>
      </c>
      <c r="H9" s="8" t="n">
        <v>3900837</v>
      </c>
      <c r="I9" s="9" t="n">
        <v>0.47635874273452</v>
      </c>
      <c r="J9" s="9" t="n">
        <v>0.1</v>
      </c>
      <c r="K9" s="11" t="s">
        <v>51</v>
      </c>
    </row>
    <row r="10" customFormat="false" ht="15" hidden="false" customHeight="false" outlineLevel="0" collapsed="false">
      <c r="A10" s="5" t="s">
        <v>52</v>
      </c>
      <c r="B10" s="6" t="n">
        <v>912025</v>
      </c>
      <c r="C10" s="6" t="n">
        <v>785996</v>
      </c>
      <c r="D10" s="6" t="n">
        <v>1018069</v>
      </c>
      <c r="E10" s="6" t="n">
        <v>1080293</v>
      </c>
      <c r="F10" s="7" t="n">
        <v>819058</v>
      </c>
      <c r="G10" s="8" t="n">
        <v>1227973</v>
      </c>
      <c r="H10" s="8" t="n">
        <v>1264812</v>
      </c>
      <c r="I10" s="9" t="n">
        <v>0.0580631917597458</v>
      </c>
      <c r="J10" s="9" t="n">
        <v>0.03</v>
      </c>
      <c r="K10" s="11" t="s">
        <v>53</v>
      </c>
    </row>
    <row r="11" customFormat="false" ht="15" hidden="false" customHeight="false" outlineLevel="0" collapsed="false">
      <c r="A11" s="5" t="s">
        <v>54</v>
      </c>
      <c r="B11" s="6" t="n">
        <v>1050565</v>
      </c>
      <c r="C11" s="6" t="n">
        <v>1083348</v>
      </c>
      <c r="D11" s="6" t="n">
        <v>676448</v>
      </c>
      <c r="E11" s="6" t="n">
        <v>1024958</v>
      </c>
      <c r="F11" s="7" t="n">
        <v>657896</v>
      </c>
      <c r="G11" s="8" t="n">
        <v>986351</v>
      </c>
      <c r="H11" s="8" t="n">
        <v>986351</v>
      </c>
      <c r="I11" s="10" t="n">
        <v>-0.0081917560460486</v>
      </c>
      <c r="J11" s="9" t="n">
        <v>0</v>
      </c>
      <c r="K11" s="11" t="s">
        <v>55</v>
      </c>
    </row>
    <row r="12" customFormat="false" ht="15" hidden="false" customHeight="false" outlineLevel="0" collapsed="false">
      <c r="A12" s="5" t="s">
        <v>56</v>
      </c>
      <c r="B12" s="6" t="n">
        <v>325736</v>
      </c>
      <c r="C12" s="6" t="n">
        <v>303259</v>
      </c>
      <c r="D12" s="6" t="n">
        <v>755559</v>
      </c>
      <c r="E12" s="6" t="n">
        <v>1561526</v>
      </c>
      <c r="F12" s="7" t="n">
        <v>1207071</v>
      </c>
      <c r="G12" s="8" t="n">
        <v>1809702</v>
      </c>
      <c r="H12" s="8" t="n">
        <v>2081157</v>
      </c>
      <c r="I12" s="9" t="n">
        <v>0.686143322365675</v>
      </c>
      <c r="J12" s="9" t="n">
        <v>0.15</v>
      </c>
      <c r="K12" s="11" t="s">
        <v>57</v>
      </c>
    </row>
    <row r="13" customFormat="false" ht="15" hidden="false" customHeight="false" outlineLevel="0" collapsed="false">
      <c r="A13" s="5" t="s">
        <v>58</v>
      </c>
      <c r="B13" s="6" t="n">
        <v>106441</v>
      </c>
      <c r="C13" s="6" t="n">
        <v>76306</v>
      </c>
      <c r="D13" s="6" t="n">
        <v>233815</v>
      </c>
      <c r="E13" s="6" t="n">
        <v>1368033</v>
      </c>
      <c r="F13" s="7" t="n">
        <v>948499</v>
      </c>
      <c r="G13" s="8" t="n">
        <v>1422037</v>
      </c>
      <c r="H13" s="8" t="n">
        <v>1493139</v>
      </c>
      <c r="I13" s="9" t="n">
        <v>1.3424079995551</v>
      </c>
      <c r="J13" s="9" t="n">
        <v>0.05</v>
      </c>
      <c r="K13" s="11" t="s">
        <v>59</v>
      </c>
    </row>
    <row r="14" customFormat="false" ht="15" hidden="false" customHeight="false" outlineLevel="0" collapsed="false">
      <c r="A14" s="5" t="s">
        <v>60</v>
      </c>
      <c r="B14" s="6" t="n">
        <v>875414</v>
      </c>
      <c r="C14" s="6" t="n">
        <v>0</v>
      </c>
      <c r="D14" s="6" t="n">
        <v>420190</v>
      </c>
      <c r="E14" s="6" t="n">
        <v>715016</v>
      </c>
      <c r="F14" s="7" t="n">
        <v>320941</v>
      </c>
      <c r="G14" s="8" t="n">
        <v>481171</v>
      </c>
      <c r="H14" s="8" t="n">
        <v>481171</v>
      </c>
      <c r="I14" s="10" t="n">
        <v>-0.0652386277240654</v>
      </c>
      <c r="J14" s="9" t="n">
        <v>0</v>
      </c>
      <c r="K14" s="11" t="s">
        <v>61</v>
      </c>
    </row>
    <row r="15" customFormat="false" ht="15" hidden="false" customHeight="false" outlineLevel="0" collapsed="false">
      <c r="A15" s="5" t="s">
        <v>62</v>
      </c>
      <c r="B15" s="6" t="n">
        <v>397849</v>
      </c>
      <c r="C15" s="6" t="n">
        <v>1253082</v>
      </c>
      <c r="D15" s="6" t="n">
        <v>51151</v>
      </c>
      <c r="E15" s="6" t="n">
        <v>461941</v>
      </c>
      <c r="F15" s="7" t="n">
        <v>74272</v>
      </c>
      <c r="G15" s="8" t="n">
        <v>111352</v>
      </c>
      <c r="H15" s="8" t="n">
        <v>111352</v>
      </c>
      <c r="I15" s="9" t="n">
        <v>0.0510484750961309</v>
      </c>
      <c r="J15" s="9" t="n">
        <v>0</v>
      </c>
      <c r="K15" s="11" t="s">
        <v>63</v>
      </c>
    </row>
    <row r="16" customFormat="false" ht="15" hidden="false" customHeight="false" outlineLevel="0" collapsed="false">
      <c r="A16" s="5" t="s">
        <v>64</v>
      </c>
      <c r="B16" s="6" t="n">
        <v>322362</v>
      </c>
      <c r="C16" s="6" t="n">
        <v>534402</v>
      </c>
      <c r="D16" s="6" t="n">
        <v>493682</v>
      </c>
      <c r="E16" s="6" t="n">
        <v>196693</v>
      </c>
      <c r="F16" s="7" t="n">
        <v>122221</v>
      </c>
      <c r="G16" s="8" t="n">
        <v>183240</v>
      </c>
      <c r="H16" s="8" t="n">
        <v>174078</v>
      </c>
      <c r="I16" s="10" t="n">
        <v>-0.151832382041372</v>
      </c>
      <c r="J16" s="10" t="n">
        <v>-0.05</v>
      </c>
      <c r="K16" s="11" t="s">
        <v>65</v>
      </c>
    </row>
    <row r="17" customFormat="false" ht="15" hidden="false" customHeight="false" outlineLevel="0" collapsed="false">
      <c r="A17" s="5" t="s">
        <v>66</v>
      </c>
      <c r="B17" s="6" t="n">
        <v>133636</v>
      </c>
      <c r="C17" s="6" t="n">
        <v>0</v>
      </c>
      <c r="D17" s="6" t="n">
        <v>556811</v>
      </c>
      <c r="E17" s="6" t="n">
        <v>328587</v>
      </c>
      <c r="F17" s="7" t="n">
        <v>637948</v>
      </c>
      <c r="G17" s="8" t="n">
        <v>956444</v>
      </c>
      <c r="H17" s="8" t="n">
        <v>1052088</v>
      </c>
      <c r="I17" s="9" t="n">
        <v>0.34971571085218</v>
      </c>
      <c r="J17" s="9" t="n">
        <v>0.1</v>
      </c>
      <c r="K17" s="11" t="s">
        <v>67</v>
      </c>
    </row>
    <row r="18" customFormat="false" ht="15" hidden="false" customHeight="false" outlineLevel="0" collapsed="false">
      <c r="A18" s="5" t="s">
        <v>68</v>
      </c>
      <c r="B18" s="6" t="n">
        <v>0</v>
      </c>
      <c r="C18" s="6" t="n">
        <v>0</v>
      </c>
      <c r="D18" s="6" t="n">
        <v>72427</v>
      </c>
      <c r="E18" s="6" t="n">
        <v>773563</v>
      </c>
      <c r="F18" s="7" t="n">
        <v>709183</v>
      </c>
      <c r="G18" s="8" t="n">
        <v>1063243</v>
      </c>
      <c r="H18" s="8" t="n">
        <v>1169567</v>
      </c>
      <c r="I18" s="9" t="n">
        <v>0</v>
      </c>
      <c r="J18" s="9" t="n">
        <v>0.1</v>
      </c>
      <c r="K18" s="11" t="s">
        <v>69</v>
      </c>
    </row>
    <row r="19" customFormat="false" ht="15" hidden="false" customHeight="false" outlineLevel="0" collapsed="false">
      <c r="A19" s="5" t="s">
        <v>70</v>
      </c>
      <c r="B19" s="6" t="n">
        <v>48072</v>
      </c>
      <c r="C19" s="6" t="n">
        <v>0</v>
      </c>
      <c r="D19" s="6" t="n">
        <v>331300</v>
      </c>
      <c r="E19" s="6" t="n">
        <v>315088</v>
      </c>
      <c r="F19" s="7" t="n">
        <v>492413</v>
      </c>
      <c r="G19" s="8" t="n">
        <v>738250</v>
      </c>
      <c r="H19" s="8" t="n">
        <v>775163</v>
      </c>
      <c r="I19" s="9" t="n">
        <v>0.871457163583995</v>
      </c>
      <c r="J19" s="9" t="n">
        <v>0.05</v>
      </c>
      <c r="K19" s="11" t="s">
        <v>71</v>
      </c>
    </row>
    <row r="20" customFormat="false" ht="15" hidden="false" customHeight="false" outlineLevel="0" collapsed="false">
      <c r="A20" s="5" t="s">
        <v>72</v>
      </c>
      <c r="B20" s="6" t="n">
        <v>103603</v>
      </c>
      <c r="C20" s="6" t="n">
        <v>253772</v>
      </c>
      <c r="D20" s="6" t="n">
        <v>83384</v>
      </c>
      <c r="E20" s="6" t="n">
        <v>238649</v>
      </c>
      <c r="F20" s="7" t="n">
        <v>346564</v>
      </c>
      <c r="G20" s="8" t="n">
        <v>519586</v>
      </c>
      <c r="H20" s="8" t="n">
        <v>561153</v>
      </c>
      <c r="I20" s="9" t="n">
        <v>0.320674409074165</v>
      </c>
      <c r="J20" s="9" t="n">
        <v>0.08</v>
      </c>
      <c r="K20" s="11" t="s">
        <v>73</v>
      </c>
    </row>
    <row r="21" customFormat="false" ht="15" hidden="false" customHeight="false" outlineLevel="0" collapsed="false">
      <c r="A21" s="5" t="s">
        <v>74</v>
      </c>
      <c r="B21" s="6" t="n">
        <v>245101</v>
      </c>
      <c r="C21" s="6" t="n">
        <v>204908</v>
      </c>
      <c r="D21" s="6" t="n">
        <v>352587</v>
      </c>
      <c r="E21" s="6" t="n">
        <v>120672</v>
      </c>
      <c r="F21" s="7" t="n">
        <v>99774</v>
      </c>
      <c r="G21" s="8" t="n">
        <v>149586</v>
      </c>
      <c r="H21" s="8" t="n">
        <v>142107</v>
      </c>
      <c r="I21" s="10" t="n">
        <v>-0.210375752808991</v>
      </c>
      <c r="J21" s="10" t="n">
        <v>-0.05</v>
      </c>
      <c r="K21" s="11" t="s">
        <v>75</v>
      </c>
    </row>
    <row r="22" customFormat="false" ht="15" hidden="false" customHeight="false" outlineLevel="0" collapsed="false">
      <c r="A22" s="5" t="s">
        <v>76</v>
      </c>
      <c r="B22" s="6" t="n">
        <v>247618</v>
      </c>
      <c r="C22" s="6" t="n">
        <v>210755</v>
      </c>
      <c r="D22" s="6" t="n">
        <v>215140</v>
      </c>
      <c r="E22" s="6" t="n">
        <v>188308</v>
      </c>
      <c r="F22" s="7" t="n">
        <v>86305</v>
      </c>
      <c r="G22" s="8" t="n">
        <v>129393</v>
      </c>
      <c r="H22" s="8" t="n">
        <v>133275</v>
      </c>
      <c r="I22" s="10" t="n">
        <v>-0.0872282582102323</v>
      </c>
      <c r="J22" s="9" t="n">
        <v>0.03</v>
      </c>
      <c r="K22" s="11" t="s">
        <v>77</v>
      </c>
    </row>
    <row r="23" customFormat="false" ht="15" hidden="false" customHeight="false" outlineLevel="0" collapsed="false">
      <c r="A23" s="5" t="s">
        <v>78</v>
      </c>
      <c r="B23" s="6" t="n">
        <v>111509</v>
      </c>
      <c r="C23" s="6" t="n">
        <v>187989</v>
      </c>
      <c r="D23" s="6" t="n">
        <v>217245</v>
      </c>
      <c r="E23" s="6" t="n">
        <v>148872</v>
      </c>
      <c r="F23" s="7" t="n">
        <v>204556</v>
      </c>
      <c r="G23" s="8" t="n">
        <v>306681</v>
      </c>
      <c r="H23" s="8" t="n">
        <v>322015</v>
      </c>
      <c r="I23" s="9" t="n">
        <v>0.101119280721677</v>
      </c>
      <c r="J23" s="9" t="n">
        <v>0.05</v>
      </c>
      <c r="K23" s="11" t="s">
        <v>79</v>
      </c>
    </row>
    <row r="24" customFormat="false" ht="15" hidden="false" customHeight="false" outlineLevel="0" collapsed="false">
      <c r="A24" s="5" t="s">
        <v>80</v>
      </c>
      <c r="B24" s="6" t="n">
        <v>108231</v>
      </c>
      <c r="C24" s="6" t="n">
        <v>93801</v>
      </c>
      <c r="D24" s="6" t="n">
        <v>132390</v>
      </c>
      <c r="E24" s="6" t="n">
        <v>233916</v>
      </c>
      <c r="F24" s="7" t="n">
        <v>223354</v>
      </c>
      <c r="G24" s="8" t="n">
        <v>334864</v>
      </c>
      <c r="H24" s="8" t="n">
        <v>351607</v>
      </c>
      <c r="I24" s="9" t="n">
        <v>0.292913348343514</v>
      </c>
      <c r="J24" s="9" t="n">
        <v>0.05</v>
      </c>
      <c r="K24" s="11" t="s">
        <v>81</v>
      </c>
    </row>
    <row r="25" customFormat="false" ht="15" hidden="false" customHeight="false" outlineLevel="0" collapsed="false">
      <c r="A25" s="5" t="s">
        <v>82</v>
      </c>
      <c r="B25" s="6" t="n">
        <v>94238</v>
      </c>
      <c r="C25" s="6" t="n">
        <v>260693</v>
      </c>
      <c r="D25" s="6" t="n">
        <v>267256</v>
      </c>
      <c r="E25" s="6" t="n">
        <v>82266</v>
      </c>
      <c r="F25" s="7" t="n">
        <v>24699</v>
      </c>
      <c r="G25" s="8" t="n">
        <v>37030</v>
      </c>
      <c r="H25" s="8" t="n">
        <v>38881</v>
      </c>
      <c r="I25" s="10" t="n">
        <v>-0.044278314772729</v>
      </c>
      <c r="J25" s="9" t="n">
        <v>0.05</v>
      </c>
      <c r="K25" s="11" t="s">
        <v>83</v>
      </c>
    </row>
    <row r="26" customFormat="false" ht="15" hidden="false" customHeight="false" outlineLevel="0" collapsed="false">
      <c r="A26" s="5" t="s">
        <v>84</v>
      </c>
      <c r="B26" s="6" t="n">
        <v>294894</v>
      </c>
      <c r="C26" s="6" t="n">
        <v>144960</v>
      </c>
      <c r="D26" s="6" t="n">
        <v>74758</v>
      </c>
      <c r="E26" s="6" t="n">
        <v>126988</v>
      </c>
      <c r="F26" s="7" t="n">
        <v>79590</v>
      </c>
      <c r="G26" s="8" t="n">
        <v>119325</v>
      </c>
      <c r="H26" s="8" t="n">
        <v>133644</v>
      </c>
      <c r="I26" s="10" t="n">
        <v>-0.244851700097388</v>
      </c>
      <c r="J26" s="9" t="n">
        <v>0.12</v>
      </c>
      <c r="K26" s="11" t="s">
        <v>85</v>
      </c>
    </row>
    <row r="27" customFormat="false" ht="15" hidden="false" customHeight="false" outlineLevel="0" collapsed="false">
      <c r="A27" s="5" t="s">
        <v>86</v>
      </c>
      <c r="B27" s="12" t="n">
        <f aca="false">SUM(B2:B26)</f>
        <v>104540714</v>
      </c>
      <c r="C27" s="12" t="n">
        <f aca="false">SUM(C2:C26)</f>
        <v>99778348</v>
      </c>
      <c r="D27" s="12" t="n">
        <f aca="false">SUM(D2:D26)</f>
        <v>100059531</v>
      </c>
      <c r="E27" s="12" t="n">
        <f aca="false">SUM(E2:E26)</f>
        <v>116017083</v>
      </c>
      <c r="F27" s="12" t="n">
        <f aca="false">SUM(F2:F26)</f>
        <v>96328876</v>
      </c>
      <c r="G27" s="13" t="n">
        <f aca="false">SUM(G2:G26)</f>
        <v>144421104</v>
      </c>
      <c r="H27" s="13" t="n">
        <f aca="false">SUM(H2:H26)</f>
        <v>145950124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8" min="7" style="0" width="20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70"/>
  </cols>
  <sheetData>
    <row r="1" customFormat="false" ht="26.85" hidden="false" customHeight="false" outlineLevel="0" collapsed="false">
      <c r="A1" s="14" t="s">
        <v>87</v>
      </c>
      <c r="B1" s="14" t="s">
        <v>88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  <c r="H1" s="14" t="s">
        <v>31</v>
      </c>
      <c r="I1" s="14" t="s">
        <v>32</v>
      </c>
      <c r="J1" s="14" t="s">
        <v>34</v>
      </c>
      <c r="K1" s="14" t="s">
        <v>89</v>
      </c>
    </row>
    <row r="2" customFormat="false" ht="15" hidden="false" customHeight="false" outlineLevel="0" collapsed="false">
      <c r="A2" s="15" t="s">
        <v>90</v>
      </c>
      <c r="B2" s="15" t="s">
        <v>91</v>
      </c>
      <c r="C2" s="6" t="n">
        <v>28500906</v>
      </c>
      <c r="D2" s="6" t="n">
        <v>30184076</v>
      </c>
      <c r="E2" s="6" t="n">
        <v>31362151</v>
      </c>
      <c r="F2" s="6" t="n">
        <v>36816821</v>
      </c>
      <c r="G2" s="7" t="n">
        <v>27372127</v>
      </c>
      <c r="H2" s="8" t="n">
        <v>41037672</v>
      </c>
      <c r="I2" s="8" t="n">
        <v>40216918</v>
      </c>
      <c r="J2" s="10" t="n">
        <v>-0.02</v>
      </c>
      <c r="K2" s="11" t="s">
        <v>92</v>
      </c>
    </row>
    <row r="3" customFormat="false" ht="15" hidden="false" customHeight="false" outlineLevel="0" collapsed="false">
      <c r="A3" s="15" t="s">
        <v>90</v>
      </c>
      <c r="B3" s="15" t="s">
        <v>93</v>
      </c>
      <c r="C3" s="6" t="n">
        <v>24313768</v>
      </c>
      <c r="D3" s="6" t="n">
        <v>23534833</v>
      </c>
      <c r="E3" s="6" t="n">
        <v>23405230</v>
      </c>
      <c r="F3" s="6" t="n">
        <v>24096115</v>
      </c>
      <c r="G3" s="7" t="n">
        <v>20412571</v>
      </c>
      <c r="H3" s="8" t="n">
        <v>30603555</v>
      </c>
      <c r="I3" s="8" t="n">
        <v>30603555</v>
      </c>
      <c r="J3" s="9" t="n">
        <v>0</v>
      </c>
      <c r="K3" s="11" t="s">
        <v>94</v>
      </c>
    </row>
    <row r="4" customFormat="false" ht="15" hidden="false" customHeight="false" outlineLevel="0" collapsed="false">
      <c r="A4" s="15" t="s">
        <v>90</v>
      </c>
      <c r="B4" s="15" t="s">
        <v>95</v>
      </c>
      <c r="C4" s="6" t="n">
        <v>16885664</v>
      </c>
      <c r="D4" s="6" t="n">
        <v>13229570</v>
      </c>
      <c r="E4" s="6" t="n">
        <v>8593027</v>
      </c>
      <c r="F4" s="6" t="n">
        <v>15829103</v>
      </c>
      <c r="G4" s="7" t="n">
        <v>14424036</v>
      </c>
      <c r="H4" s="8" t="n">
        <v>21625241</v>
      </c>
      <c r="I4" s="8" t="n">
        <v>20543979</v>
      </c>
      <c r="J4" s="10" t="n">
        <v>-0.05</v>
      </c>
      <c r="K4" s="11" t="s">
        <v>96</v>
      </c>
    </row>
    <row r="5" customFormat="false" ht="15" hidden="false" customHeight="false" outlineLevel="0" collapsed="false">
      <c r="A5" s="15" t="s">
        <v>90</v>
      </c>
      <c r="B5" s="15" t="s">
        <v>97</v>
      </c>
      <c r="C5" s="6" t="n">
        <v>15631293</v>
      </c>
      <c r="D5" s="6" t="n">
        <v>14024765</v>
      </c>
      <c r="E5" s="6" t="n">
        <v>13104134</v>
      </c>
      <c r="F5" s="6" t="n">
        <v>11370732</v>
      </c>
      <c r="G5" s="7" t="n">
        <v>9770092</v>
      </c>
      <c r="H5" s="8" t="n">
        <v>14647814</v>
      </c>
      <c r="I5" s="8" t="n">
        <v>13915423</v>
      </c>
      <c r="J5" s="10" t="n">
        <v>-0.05</v>
      </c>
      <c r="K5" s="11" t="s">
        <v>98</v>
      </c>
    </row>
    <row r="6" customFormat="false" ht="15" hidden="false" customHeight="false" outlineLevel="0" collapsed="false">
      <c r="A6" s="15" t="s">
        <v>95</v>
      </c>
      <c r="B6" s="15" t="s">
        <v>91</v>
      </c>
      <c r="C6" s="6" t="n">
        <v>4264313</v>
      </c>
      <c r="D6" s="6" t="n">
        <v>5456098</v>
      </c>
      <c r="E6" s="6" t="n">
        <v>6375831</v>
      </c>
      <c r="F6" s="6" t="n">
        <v>6998811</v>
      </c>
      <c r="G6" s="7" t="n">
        <v>4488553</v>
      </c>
      <c r="H6" s="8" t="n">
        <v>6729465</v>
      </c>
      <c r="I6" s="8" t="n">
        <v>7738884</v>
      </c>
      <c r="J6" s="9" t="n">
        <v>0.15</v>
      </c>
      <c r="K6" s="11" t="s">
        <v>99</v>
      </c>
    </row>
    <row r="7" customFormat="false" ht="15" hidden="false" customHeight="false" outlineLevel="0" collapsed="false">
      <c r="A7" s="15" t="s">
        <v>95</v>
      </c>
      <c r="B7" s="15" t="s">
        <v>100</v>
      </c>
      <c r="C7" s="6" t="n">
        <v>1591976</v>
      </c>
      <c r="D7" s="6" t="n">
        <v>629323</v>
      </c>
      <c r="E7" s="6" t="n">
        <v>1972962</v>
      </c>
      <c r="F7" s="6" t="n">
        <v>4238093</v>
      </c>
      <c r="G7" s="7" t="n">
        <v>2821165</v>
      </c>
      <c r="H7" s="8" t="n">
        <v>4229633</v>
      </c>
      <c r="I7" s="8" t="n">
        <v>4652596</v>
      </c>
      <c r="J7" s="9" t="n">
        <v>0.1</v>
      </c>
      <c r="K7" s="11" t="s">
        <v>101</v>
      </c>
    </row>
    <row r="8" customFormat="false" ht="15" hidden="false" customHeight="false" outlineLevel="0" collapsed="false">
      <c r="A8" s="15" t="s">
        <v>90</v>
      </c>
      <c r="B8" s="15" t="s">
        <v>102</v>
      </c>
      <c r="C8" s="6" t="n">
        <v>1394252</v>
      </c>
      <c r="D8" s="6" t="n">
        <v>871848</v>
      </c>
      <c r="E8" s="6" t="n">
        <v>1187989</v>
      </c>
      <c r="F8" s="6" t="n">
        <v>3543438</v>
      </c>
      <c r="G8" s="7" t="n">
        <v>2851138</v>
      </c>
      <c r="H8" s="8" t="n">
        <v>4274570</v>
      </c>
      <c r="I8" s="8" t="n">
        <v>4702027</v>
      </c>
      <c r="J8" s="9" t="n">
        <v>0.1</v>
      </c>
      <c r="K8" s="11" t="s">
        <v>103</v>
      </c>
    </row>
    <row r="9" customFormat="false" ht="15" hidden="false" customHeight="false" outlineLevel="0" collapsed="false">
      <c r="A9" s="15" t="s">
        <v>97</v>
      </c>
      <c r="B9" s="15" t="s">
        <v>90</v>
      </c>
      <c r="C9" s="6" t="n">
        <v>1556345</v>
      </c>
      <c r="D9" s="6" t="n">
        <v>1014481</v>
      </c>
      <c r="E9" s="6" t="n">
        <v>2283645</v>
      </c>
      <c r="F9" s="6" t="n">
        <v>3152918</v>
      </c>
      <c r="G9" s="7" t="n">
        <v>1377337</v>
      </c>
      <c r="H9" s="8" t="n">
        <v>2064973</v>
      </c>
      <c r="I9" s="8" t="n">
        <v>2168222</v>
      </c>
      <c r="J9" s="9" t="n">
        <v>0.05</v>
      </c>
      <c r="K9" s="11" t="s">
        <v>104</v>
      </c>
    </row>
    <row r="10" customFormat="false" ht="15" hidden="false" customHeight="false" outlineLevel="0" collapsed="false">
      <c r="A10" s="15" t="s">
        <v>95</v>
      </c>
      <c r="B10" s="15" t="s">
        <v>93</v>
      </c>
      <c r="C10" s="6" t="n">
        <v>1403009</v>
      </c>
      <c r="D10" s="6" t="n">
        <v>1243401</v>
      </c>
      <c r="E10" s="6" t="n">
        <v>2201479</v>
      </c>
      <c r="F10" s="6" t="n">
        <v>2472150</v>
      </c>
      <c r="G10" s="7" t="n">
        <v>1695979</v>
      </c>
      <c r="H10" s="8" t="n">
        <v>2542697</v>
      </c>
      <c r="I10" s="8" t="n">
        <v>2796967</v>
      </c>
      <c r="J10" s="9" t="n">
        <v>0.1</v>
      </c>
      <c r="K10" s="11" t="s">
        <v>105</v>
      </c>
    </row>
    <row r="11" customFormat="false" ht="15" hidden="false" customHeight="false" outlineLevel="0" collapsed="false">
      <c r="A11" s="15" t="s">
        <v>95</v>
      </c>
      <c r="B11" s="15" t="s">
        <v>90</v>
      </c>
      <c r="C11" s="6" t="n">
        <v>1336732</v>
      </c>
      <c r="D11" s="6" t="n">
        <v>1378917</v>
      </c>
      <c r="E11" s="6" t="n">
        <v>1391217</v>
      </c>
      <c r="F11" s="6" t="n">
        <v>2132003</v>
      </c>
      <c r="G11" s="7" t="n">
        <v>2511240</v>
      </c>
      <c r="H11" s="8" t="n">
        <v>3764978</v>
      </c>
      <c r="I11" s="8" t="n">
        <v>4517973</v>
      </c>
      <c r="J11" s="9" t="n">
        <v>0.2</v>
      </c>
      <c r="K11" s="11" t="s">
        <v>106</v>
      </c>
    </row>
    <row r="12" customFormat="false" ht="15" hidden="false" customHeight="false" outlineLevel="0" collapsed="false">
      <c r="A12" s="15" t="s">
        <v>91</v>
      </c>
      <c r="B12" s="15" t="s">
        <v>90</v>
      </c>
      <c r="C12" s="6" t="n">
        <v>389702</v>
      </c>
      <c r="D12" s="6" t="n">
        <v>666139</v>
      </c>
      <c r="E12" s="6" t="n">
        <v>0</v>
      </c>
      <c r="F12" s="6" t="n">
        <v>516981</v>
      </c>
      <c r="G12" s="7" t="n">
        <v>5256056</v>
      </c>
      <c r="H12" s="8" t="n">
        <v>7880144</v>
      </c>
      <c r="I12" s="8" t="n">
        <v>14184259</v>
      </c>
      <c r="J12" s="9" t="n">
        <v>0.8</v>
      </c>
      <c r="K12" s="11" t="s">
        <v>107</v>
      </c>
    </row>
    <row r="13" customFormat="false" ht="15" hidden="false" customHeight="false" outlineLevel="0" collapsed="false">
      <c r="A13" s="15" t="s">
        <v>93</v>
      </c>
      <c r="B13" s="15" t="s">
        <v>90</v>
      </c>
      <c r="C13" s="6" t="n">
        <v>1168138</v>
      </c>
      <c r="D13" s="6" t="n">
        <v>1482548</v>
      </c>
      <c r="E13" s="6" t="n">
        <v>1584192</v>
      </c>
      <c r="F13" s="6" t="n">
        <v>1336442</v>
      </c>
      <c r="G13" s="7" t="n">
        <v>1066939</v>
      </c>
      <c r="H13" s="8" t="n">
        <v>1599609</v>
      </c>
      <c r="I13" s="8" t="n">
        <v>1679589</v>
      </c>
      <c r="J13" s="9" t="n">
        <v>0.05</v>
      </c>
      <c r="K13" s="11" t="s">
        <v>108</v>
      </c>
    </row>
    <row r="14" customFormat="false" ht="15" hidden="false" customHeight="false" outlineLevel="0" collapsed="false">
      <c r="A14" s="15" t="s">
        <v>93</v>
      </c>
      <c r="B14" s="15" t="s">
        <v>95</v>
      </c>
      <c r="C14" s="6" t="n">
        <v>971783</v>
      </c>
      <c r="D14" s="6" t="n">
        <v>1518037</v>
      </c>
      <c r="E14" s="6" t="n">
        <v>883329</v>
      </c>
      <c r="F14" s="6" t="n">
        <v>447604</v>
      </c>
      <c r="G14" s="7" t="n">
        <v>456487</v>
      </c>
      <c r="H14" s="8" t="n">
        <v>684388</v>
      </c>
      <c r="I14" s="8" t="n">
        <v>718608</v>
      </c>
      <c r="J14" s="9" t="n">
        <v>0.05</v>
      </c>
      <c r="K14" s="11" t="s">
        <v>109</v>
      </c>
    </row>
    <row r="15" customFormat="false" ht="15" hidden="false" customHeight="false" outlineLevel="0" collapsed="false">
      <c r="A15" s="15" t="s">
        <v>90</v>
      </c>
      <c r="B15" s="15" t="s">
        <v>100</v>
      </c>
      <c r="C15" s="6" t="n">
        <v>876381</v>
      </c>
      <c r="D15" s="6" t="n">
        <v>1033696</v>
      </c>
      <c r="E15" s="6" t="n">
        <v>862747</v>
      </c>
      <c r="F15" s="6" t="n">
        <v>693699</v>
      </c>
      <c r="G15" s="7" t="n">
        <v>451905</v>
      </c>
      <c r="H15" s="8" t="n">
        <v>677519</v>
      </c>
      <c r="I15" s="8" t="n">
        <v>697844</v>
      </c>
      <c r="J15" s="9" t="n">
        <v>0.03</v>
      </c>
      <c r="K15" s="11" t="s">
        <v>110</v>
      </c>
    </row>
    <row r="16" customFormat="false" ht="15" hidden="false" customHeight="false" outlineLevel="0" collapsed="false">
      <c r="A16" s="15" t="s">
        <v>93</v>
      </c>
      <c r="B16" s="15" t="s">
        <v>91</v>
      </c>
      <c r="C16" s="6" t="n">
        <v>900068</v>
      </c>
      <c r="D16" s="6" t="n">
        <v>606302</v>
      </c>
      <c r="E16" s="6" t="n">
        <v>732776</v>
      </c>
      <c r="F16" s="6" t="n">
        <v>699820</v>
      </c>
      <c r="G16" s="7" t="n">
        <v>258350</v>
      </c>
      <c r="H16" s="8" t="n">
        <v>387331</v>
      </c>
      <c r="I16" s="8" t="n">
        <v>406698</v>
      </c>
      <c r="J16" s="9" t="n">
        <v>0.05</v>
      </c>
      <c r="K16" s="11" t="s">
        <v>111</v>
      </c>
    </row>
    <row r="17" customFormat="false" ht="15" hidden="false" customHeight="false" outlineLevel="0" collapsed="false">
      <c r="A17" s="15" t="s">
        <v>93</v>
      </c>
      <c r="B17" s="15" t="s">
        <v>97</v>
      </c>
      <c r="C17" s="6" t="n">
        <v>600088</v>
      </c>
      <c r="D17" s="6" t="n">
        <v>593867</v>
      </c>
      <c r="E17" s="6" t="n">
        <v>514367</v>
      </c>
      <c r="F17" s="6" t="n">
        <v>587010</v>
      </c>
      <c r="G17" s="7" t="n">
        <v>374638</v>
      </c>
      <c r="H17" s="8" t="n">
        <v>561676</v>
      </c>
      <c r="I17" s="8" t="n">
        <v>578526</v>
      </c>
      <c r="J17" s="9" t="n">
        <v>0.03</v>
      </c>
      <c r="K17" s="11" t="s">
        <v>112</v>
      </c>
    </row>
    <row r="18" customFormat="false" ht="15" hidden="false" customHeight="false" outlineLevel="0" collapsed="false">
      <c r="A18" s="15" t="s">
        <v>97</v>
      </c>
      <c r="B18" s="15" t="s">
        <v>91</v>
      </c>
      <c r="C18" s="6" t="n">
        <v>993797</v>
      </c>
      <c r="D18" s="6" t="n">
        <v>459239</v>
      </c>
      <c r="E18" s="6" t="n">
        <v>559030</v>
      </c>
      <c r="F18" s="6" t="n">
        <v>316302</v>
      </c>
      <c r="G18" s="7" t="n">
        <v>181563</v>
      </c>
      <c r="H18" s="8" t="n">
        <v>272208</v>
      </c>
      <c r="I18" s="8" t="n">
        <v>285819</v>
      </c>
      <c r="J18" s="9" t="n">
        <v>0.05</v>
      </c>
      <c r="K18" s="11" t="s">
        <v>113</v>
      </c>
    </row>
    <row r="19" customFormat="false" ht="15" hidden="false" customHeight="false" outlineLevel="0" collapsed="false">
      <c r="A19" s="15" t="s">
        <v>91</v>
      </c>
      <c r="B19" s="15" t="s">
        <v>100</v>
      </c>
      <c r="C19" s="6" t="n">
        <v>269399</v>
      </c>
      <c r="D19" s="6" t="n">
        <v>946815</v>
      </c>
      <c r="E19" s="6" t="n">
        <v>422466</v>
      </c>
      <c r="F19" s="6" t="n">
        <v>390679</v>
      </c>
      <c r="G19" s="7" t="n">
        <v>372923</v>
      </c>
      <c r="H19" s="8" t="n">
        <v>559105</v>
      </c>
      <c r="I19" s="8" t="n">
        <v>587060</v>
      </c>
      <c r="J19" s="9" t="n">
        <v>0.05</v>
      </c>
      <c r="K19" s="11" t="s">
        <v>114</v>
      </c>
    </row>
    <row r="20" customFormat="false" ht="15" hidden="false" customHeight="false" outlineLevel="0" collapsed="false">
      <c r="A20" s="15" t="s">
        <v>93</v>
      </c>
      <c r="B20" s="15" t="s">
        <v>100</v>
      </c>
      <c r="C20" s="6" t="n">
        <v>541308</v>
      </c>
      <c r="D20" s="6" t="n">
        <v>538611</v>
      </c>
      <c r="E20" s="6" t="n">
        <v>658401</v>
      </c>
      <c r="F20" s="6" t="n">
        <v>157366</v>
      </c>
      <c r="G20" s="7" t="n">
        <v>226549</v>
      </c>
      <c r="H20" s="8" t="n">
        <v>339654</v>
      </c>
      <c r="I20" s="8" t="n">
        <v>349843</v>
      </c>
      <c r="J20" s="9" t="n">
        <v>0.03</v>
      </c>
      <c r="K20" s="11" t="s">
        <v>115</v>
      </c>
    </row>
    <row r="21" customFormat="false" ht="15" hidden="false" customHeight="false" outlineLevel="0" collapsed="false">
      <c r="A21" s="15" t="s">
        <v>97</v>
      </c>
      <c r="B21" s="15" t="s">
        <v>93</v>
      </c>
      <c r="C21" s="6" t="n">
        <v>357224</v>
      </c>
      <c r="D21" s="6" t="n">
        <v>172330</v>
      </c>
      <c r="E21" s="6" t="n">
        <v>730477</v>
      </c>
      <c r="F21" s="6" t="n">
        <v>512931</v>
      </c>
      <c r="G21" s="7" t="n">
        <v>204572</v>
      </c>
      <c r="H21" s="8" t="n">
        <v>306705</v>
      </c>
      <c r="I21" s="8" t="n">
        <v>315906</v>
      </c>
      <c r="J21" s="9" t="n">
        <v>0.03</v>
      </c>
      <c r="K21" s="1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9" min="6" style="0" width="14"/>
    <col collapsed="false" customWidth="true" hidden="false" outlineLevel="0" max="11" min="10" style="0" width="18"/>
  </cols>
  <sheetData>
    <row r="1" customFormat="false" ht="26.85" hidden="false" customHeight="false" outlineLevel="0" collapsed="false">
      <c r="A1" s="16" t="s">
        <v>117</v>
      </c>
      <c r="B1" s="16" t="s">
        <v>118</v>
      </c>
      <c r="C1" s="16" t="s">
        <v>119</v>
      </c>
      <c r="D1" s="16" t="s">
        <v>120</v>
      </c>
      <c r="E1" s="16" t="s">
        <v>25</v>
      </c>
      <c r="F1" s="16" t="s">
        <v>121</v>
      </c>
      <c r="G1" s="16" t="s">
        <v>122</v>
      </c>
      <c r="H1" s="16" t="s">
        <v>123</v>
      </c>
      <c r="I1" s="16" t="s">
        <v>124</v>
      </c>
      <c r="J1" s="16" t="s">
        <v>125</v>
      </c>
      <c r="K1" s="16" t="s">
        <v>126</v>
      </c>
    </row>
    <row r="2" customFormat="false" ht="15" hidden="false" customHeight="false" outlineLevel="0" collapsed="false">
      <c r="A2" s="17" t="s">
        <v>90</v>
      </c>
      <c r="B2" s="17" t="s">
        <v>127</v>
      </c>
      <c r="C2" s="17" t="s">
        <v>93</v>
      </c>
      <c r="D2" s="17" t="s">
        <v>128</v>
      </c>
      <c r="E2" s="17" t="s">
        <v>36</v>
      </c>
      <c r="F2" s="6" t="n">
        <v>3166664</v>
      </c>
      <c r="G2" s="6" t="n">
        <v>2173937</v>
      </c>
      <c r="H2" s="6" t="n">
        <v>4025339</v>
      </c>
      <c r="I2" s="6" t="n">
        <v>2014916</v>
      </c>
      <c r="J2" s="7" t="n">
        <v>3299213</v>
      </c>
      <c r="K2" s="18" t="n">
        <v>14680069</v>
      </c>
    </row>
    <row r="3" customFormat="false" ht="15" hidden="false" customHeight="false" outlineLevel="0" collapsed="false">
      <c r="A3" s="17" t="s">
        <v>90</v>
      </c>
      <c r="B3" s="17" t="s">
        <v>129</v>
      </c>
      <c r="C3" s="17" t="s">
        <v>91</v>
      </c>
      <c r="D3" s="17" t="s">
        <v>130</v>
      </c>
      <c r="E3" s="17" t="s">
        <v>36</v>
      </c>
      <c r="F3" s="6" t="n">
        <v>2108508</v>
      </c>
      <c r="G3" s="6" t="n">
        <v>2720403</v>
      </c>
      <c r="H3" s="6" t="n">
        <v>2093157</v>
      </c>
      <c r="I3" s="6" t="n">
        <v>3354246</v>
      </c>
      <c r="J3" s="7" t="n">
        <v>3092852</v>
      </c>
      <c r="K3" s="18" t="n">
        <v>13369166</v>
      </c>
    </row>
    <row r="4" customFormat="false" ht="15" hidden="false" customHeight="false" outlineLevel="0" collapsed="false">
      <c r="A4" s="17" t="s">
        <v>90</v>
      </c>
      <c r="B4" s="17" t="s">
        <v>129</v>
      </c>
      <c r="C4" s="17" t="s">
        <v>93</v>
      </c>
      <c r="D4" s="17" t="s">
        <v>128</v>
      </c>
      <c r="E4" s="17" t="s">
        <v>36</v>
      </c>
      <c r="F4" s="6" t="n">
        <v>3106594</v>
      </c>
      <c r="G4" s="6" t="n">
        <v>3484590</v>
      </c>
      <c r="H4" s="6" t="n">
        <v>1700359</v>
      </c>
      <c r="I4" s="6" t="n">
        <v>2086433</v>
      </c>
      <c r="J4" s="7" t="n">
        <v>1459575</v>
      </c>
      <c r="K4" s="18" t="n">
        <v>11837551</v>
      </c>
    </row>
    <row r="5" customFormat="false" ht="15" hidden="false" customHeight="false" outlineLevel="0" collapsed="false">
      <c r="A5" s="17" t="s">
        <v>90</v>
      </c>
      <c r="B5" s="17" t="s">
        <v>127</v>
      </c>
      <c r="C5" s="17" t="s">
        <v>93</v>
      </c>
      <c r="D5" s="17" t="s">
        <v>131</v>
      </c>
      <c r="E5" s="17" t="s">
        <v>36</v>
      </c>
      <c r="F5" s="6" t="n">
        <v>1759608</v>
      </c>
      <c r="G5" s="6" t="n">
        <v>2080808</v>
      </c>
      <c r="H5" s="6" t="n">
        <v>2288066</v>
      </c>
      <c r="I5" s="6" t="n">
        <v>2410922</v>
      </c>
      <c r="J5" s="7" t="n">
        <v>2192401</v>
      </c>
      <c r="K5" s="18" t="n">
        <v>10731805</v>
      </c>
    </row>
    <row r="6" customFormat="false" ht="15" hidden="false" customHeight="false" outlineLevel="0" collapsed="false">
      <c r="A6" s="17" t="s">
        <v>90</v>
      </c>
      <c r="B6" s="17" t="s">
        <v>132</v>
      </c>
      <c r="C6" s="17" t="s">
        <v>97</v>
      </c>
      <c r="D6" s="17" t="s">
        <v>133</v>
      </c>
      <c r="E6" s="17" t="s">
        <v>36</v>
      </c>
      <c r="F6" s="6" t="n">
        <v>2820823</v>
      </c>
      <c r="G6" s="6" t="n">
        <v>2275245</v>
      </c>
      <c r="H6" s="6" t="n">
        <v>2193467</v>
      </c>
      <c r="I6" s="6" t="n">
        <v>1890758</v>
      </c>
      <c r="J6" s="7" t="n">
        <v>1211292</v>
      </c>
      <c r="K6" s="18" t="n">
        <v>10391585</v>
      </c>
    </row>
    <row r="7" customFormat="false" ht="15" hidden="false" customHeight="false" outlineLevel="0" collapsed="false">
      <c r="A7" s="17" t="s">
        <v>90</v>
      </c>
      <c r="B7" s="17" t="s">
        <v>129</v>
      </c>
      <c r="C7" s="17" t="s">
        <v>91</v>
      </c>
      <c r="D7" s="17" t="s">
        <v>134</v>
      </c>
      <c r="E7" s="17" t="s">
        <v>36</v>
      </c>
      <c r="F7" s="6" t="n">
        <v>542466</v>
      </c>
      <c r="G7" s="6" t="n">
        <v>1434726</v>
      </c>
      <c r="H7" s="6" t="n">
        <v>2829461</v>
      </c>
      <c r="I7" s="6" t="n">
        <v>3254072</v>
      </c>
      <c r="J7" s="7" t="n">
        <v>2291186</v>
      </c>
      <c r="K7" s="18" t="n">
        <v>10351911</v>
      </c>
    </row>
    <row r="8" customFormat="false" ht="15" hidden="false" customHeight="false" outlineLevel="0" collapsed="false">
      <c r="A8" s="17" t="s">
        <v>90</v>
      </c>
      <c r="B8" s="17" t="s">
        <v>127</v>
      </c>
      <c r="C8" s="17" t="s">
        <v>93</v>
      </c>
      <c r="D8" s="17" t="s">
        <v>135</v>
      </c>
      <c r="E8" s="17" t="s">
        <v>36</v>
      </c>
      <c r="F8" s="6" t="n">
        <v>1460816</v>
      </c>
      <c r="G8" s="6" t="n">
        <v>1682631</v>
      </c>
      <c r="H8" s="6" t="n">
        <v>1479511</v>
      </c>
      <c r="I8" s="6" t="n">
        <v>2596142</v>
      </c>
      <c r="J8" s="7" t="n">
        <v>1940444</v>
      </c>
      <c r="K8" s="18" t="n">
        <v>9159544</v>
      </c>
    </row>
    <row r="9" customFormat="false" ht="15" hidden="false" customHeight="false" outlineLevel="0" collapsed="false">
      <c r="A9" s="17" t="s">
        <v>90</v>
      </c>
      <c r="B9" s="17" t="s">
        <v>127</v>
      </c>
      <c r="C9" s="17" t="s">
        <v>97</v>
      </c>
      <c r="D9" s="17" t="s">
        <v>133</v>
      </c>
      <c r="E9" s="17" t="s">
        <v>36</v>
      </c>
      <c r="F9" s="6" t="n">
        <v>2217414</v>
      </c>
      <c r="G9" s="6" t="n">
        <v>1298577</v>
      </c>
      <c r="H9" s="6" t="n">
        <v>1480704</v>
      </c>
      <c r="I9" s="6" t="n">
        <v>1806593</v>
      </c>
      <c r="J9" s="7" t="n">
        <v>1481763</v>
      </c>
      <c r="K9" s="18" t="n">
        <v>8285051</v>
      </c>
    </row>
    <row r="10" customFormat="false" ht="15" hidden="false" customHeight="false" outlineLevel="0" collapsed="false">
      <c r="A10" s="17" t="s">
        <v>90</v>
      </c>
      <c r="B10" s="17" t="s">
        <v>127</v>
      </c>
      <c r="C10" s="17" t="s">
        <v>91</v>
      </c>
      <c r="D10" s="17" t="s">
        <v>136</v>
      </c>
      <c r="E10" s="17" t="s">
        <v>36</v>
      </c>
      <c r="F10" s="6" t="n">
        <v>1047541</v>
      </c>
      <c r="G10" s="6" t="n">
        <v>2227573</v>
      </c>
      <c r="H10" s="6" t="n">
        <v>2229260</v>
      </c>
      <c r="I10" s="6" t="n">
        <v>1702606</v>
      </c>
      <c r="J10" s="7" t="n">
        <v>1031387</v>
      </c>
      <c r="K10" s="18" t="n">
        <v>8238367</v>
      </c>
    </row>
    <row r="11" customFormat="false" ht="15" hidden="false" customHeight="false" outlineLevel="0" collapsed="false">
      <c r="A11" s="17" t="s">
        <v>90</v>
      </c>
      <c r="B11" s="17" t="s">
        <v>137</v>
      </c>
      <c r="C11" s="17" t="s">
        <v>93</v>
      </c>
      <c r="D11" s="17" t="s">
        <v>128</v>
      </c>
      <c r="E11" s="17" t="s">
        <v>36</v>
      </c>
      <c r="F11" s="6" t="n">
        <v>1571238</v>
      </c>
      <c r="G11" s="6" t="n">
        <v>2349113</v>
      </c>
      <c r="H11" s="6" t="n">
        <v>2292810</v>
      </c>
      <c r="I11" s="6" t="n">
        <v>1475092</v>
      </c>
      <c r="J11" s="7" t="n">
        <v>381453</v>
      </c>
      <c r="K11" s="18" t="n">
        <v>8069706</v>
      </c>
    </row>
    <row r="12" customFormat="false" ht="15" hidden="false" customHeight="false" outlineLevel="0" collapsed="false">
      <c r="A12" s="17" t="s">
        <v>90</v>
      </c>
      <c r="B12" s="17" t="s">
        <v>132</v>
      </c>
      <c r="C12" s="17" t="s">
        <v>97</v>
      </c>
      <c r="D12" s="17" t="s">
        <v>138</v>
      </c>
      <c r="E12" s="17" t="s">
        <v>36</v>
      </c>
      <c r="F12" s="6" t="n">
        <v>2125892</v>
      </c>
      <c r="G12" s="6" t="n">
        <v>1763334</v>
      </c>
      <c r="H12" s="6" t="n">
        <v>2074138</v>
      </c>
      <c r="I12" s="6" t="n">
        <v>481536</v>
      </c>
      <c r="J12" s="7" t="n">
        <v>812091</v>
      </c>
      <c r="K12" s="18" t="n">
        <v>7256991</v>
      </c>
    </row>
    <row r="13" customFormat="false" ht="15" hidden="false" customHeight="false" outlineLevel="0" collapsed="false">
      <c r="A13" s="17" t="s">
        <v>90</v>
      </c>
      <c r="B13" s="17" t="s">
        <v>129</v>
      </c>
      <c r="C13" s="17" t="s">
        <v>91</v>
      </c>
      <c r="D13" s="17" t="s">
        <v>139</v>
      </c>
      <c r="E13" s="17" t="s">
        <v>36</v>
      </c>
      <c r="F13" s="6" t="n">
        <v>1129883</v>
      </c>
      <c r="G13" s="6" t="n">
        <v>1372135</v>
      </c>
      <c r="H13" s="6" t="n">
        <v>1313608</v>
      </c>
      <c r="I13" s="6" t="n">
        <v>1854871</v>
      </c>
      <c r="J13" s="7" t="n">
        <v>921582</v>
      </c>
      <c r="K13" s="18" t="n">
        <v>6592079</v>
      </c>
    </row>
    <row r="14" customFormat="false" ht="15" hidden="false" customHeight="false" outlineLevel="0" collapsed="false">
      <c r="A14" s="17" t="s">
        <v>90</v>
      </c>
      <c r="B14" s="17" t="s">
        <v>140</v>
      </c>
      <c r="C14" s="17" t="s">
        <v>93</v>
      </c>
      <c r="D14" s="17" t="s">
        <v>128</v>
      </c>
      <c r="E14" s="17" t="s">
        <v>36</v>
      </c>
      <c r="F14" s="6" t="n">
        <v>381249</v>
      </c>
      <c r="G14" s="6" t="n">
        <v>1244558</v>
      </c>
      <c r="H14" s="6" t="n">
        <v>1988512</v>
      </c>
      <c r="I14" s="6" t="n">
        <v>871924</v>
      </c>
      <c r="J14" s="7" t="n">
        <v>633229</v>
      </c>
      <c r="K14" s="18" t="n">
        <v>5119472</v>
      </c>
    </row>
    <row r="15" customFormat="false" ht="15" hidden="false" customHeight="false" outlineLevel="0" collapsed="false">
      <c r="A15" s="17" t="s">
        <v>90</v>
      </c>
      <c r="B15" s="17" t="s">
        <v>129</v>
      </c>
      <c r="C15" s="17" t="s">
        <v>91</v>
      </c>
      <c r="D15" s="17" t="s">
        <v>141</v>
      </c>
      <c r="E15" s="17" t="s">
        <v>36</v>
      </c>
      <c r="F15" s="6" t="n">
        <v>945446</v>
      </c>
      <c r="G15" s="6" t="n">
        <v>1035000</v>
      </c>
      <c r="H15" s="6" t="n">
        <v>989080</v>
      </c>
      <c r="I15" s="6" t="n">
        <v>995074</v>
      </c>
      <c r="J15" s="7" t="n">
        <v>1141460</v>
      </c>
      <c r="K15" s="18" t="n">
        <v>5106060</v>
      </c>
    </row>
    <row r="16" customFormat="false" ht="15" hidden="false" customHeight="false" outlineLevel="0" collapsed="false">
      <c r="A16" s="17" t="s">
        <v>90</v>
      </c>
      <c r="B16" s="17" t="s">
        <v>142</v>
      </c>
      <c r="C16" s="17" t="s">
        <v>93</v>
      </c>
      <c r="D16" s="17" t="s">
        <v>131</v>
      </c>
      <c r="E16" s="17" t="s">
        <v>36</v>
      </c>
      <c r="F16" s="6" t="n">
        <v>1008389</v>
      </c>
      <c r="G16" s="6" t="n">
        <v>953907</v>
      </c>
      <c r="H16" s="6" t="n">
        <v>753894</v>
      </c>
      <c r="I16" s="6" t="n">
        <v>1470297</v>
      </c>
      <c r="J16" s="7" t="n">
        <v>748931</v>
      </c>
      <c r="K16" s="18" t="n">
        <v>4935418</v>
      </c>
    </row>
    <row r="17" customFormat="false" ht="15" hidden="false" customHeight="false" outlineLevel="0" collapsed="false">
      <c r="A17" s="17" t="s">
        <v>90</v>
      </c>
      <c r="B17" s="17" t="s">
        <v>127</v>
      </c>
      <c r="C17" s="17" t="s">
        <v>91</v>
      </c>
      <c r="D17" s="17" t="s">
        <v>143</v>
      </c>
      <c r="E17" s="17" t="s">
        <v>36</v>
      </c>
      <c r="F17" s="6" t="n">
        <v>714790</v>
      </c>
      <c r="G17" s="6" t="n">
        <v>727047</v>
      </c>
      <c r="H17" s="6" t="n">
        <v>1100048</v>
      </c>
      <c r="I17" s="6" t="n">
        <v>1147324</v>
      </c>
      <c r="J17" s="7" t="n">
        <v>839601</v>
      </c>
      <c r="K17" s="18" t="n">
        <v>4528810</v>
      </c>
    </row>
    <row r="18" customFormat="false" ht="15" hidden="false" customHeight="false" outlineLevel="0" collapsed="false">
      <c r="A18" s="17" t="s">
        <v>90</v>
      </c>
      <c r="B18" s="17" t="s">
        <v>142</v>
      </c>
      <c r="C18" s="17" t="s">
        <v>93</v>
      </c>
      <c r="D18" s="17" t="s">
        <v>128</v>
      </c>
      <c r="E18" s="17" t="s">
        <v>36</v>
      </c>
      <c r="F18" s="6" t="n">
        <v>712829</v>
      </c>
      <c r="G18" s="6" t="n">
        <v>783818</v>
      </c>
      <c r="H18" s="6" t="n">
        <v>899081</v>
      </c>
      <c r="I18" s="6" t="n">
        <v>1430412</v>
      </c>
      <c r="J18" s="7" t="n">
        <v>588542</v>
      </c>
      <c r="K18" s="18" t="n">
        <v>4414682</v>
      </c>
    </row>
    <row r="19" customFormat="false" ht="15" hidden="false" customHeight="false" outlineLevel="0" collapsed="false">
      <c r="A19" s="17" t="s">
        <v>93</v>
      </c>
      <c r="B19" s="17" t="s">
        <v>144</v>
      </c>
      <c r="C19" s="17" t="s">
        <v>90</v>
      </c>
      <c r="D19" s="17" t="s">
        <v>145</v>
      </c>
      <c r="E19" s="17" t="s">
        <v>48</v>
      </c>
      <c r="F19" s="6" t="n">
        <v>687119</v>
      </c>
      <c r="G19" s="6" t="n">
        <v>1176177</v>
      </c>
      <c r="H19" s="6" t="n">
        <v>1139825</v>
      </c>
      <c r="I19" s="6" t="n">
        <v>917313</v>
      </c>
      <c r="J19" s="7" t="n">
        <v>444579</v>
      </c>
      <c r="K19" s="18" t="n">
        <v>4365013</v>
      </c>
    </row>
    <row r="20" customFormat="false" ht="15" hidden="false" customHeight="false" outlineLevel="0" collapsed="false">
      <c r="A20" s="17" t="s">
        <v>90</v>
      </c>
      <c r="B20" s="17" t="s">
        <v>146</v>
      </c>
      <c r="C20" s="17" t="s">
        <v>97</v>
      </c>
      <c r="D20" s="17" t="s">
        <v>133</v>
      </c>
      <c r="E20" s="17" t="s">
        <v>36</v>
      </c>
      <c r="F20" s="6" t="n">
        <v>306969</v>
      </c>
      <c r="G20" s="6" t="n">
        <v>705030</v>
      </c>
      <c r="H20" s="6" t="n">
        <v>965789</v>
      </c>
      <c r="I20" s="6" t="n">
        <v>1246892</v>
      </c>
      <c r="J20" s="7" t="n">
        <v>971529</v>
      </c>
      <c r="K20" s="18" t="n">
        <v>4196209</v>
      </c>
    </row>
    <row r="21" customFormat="false" ht="15" hidden="false" customHeight="false" outlineLevel="0" collapsed="false">
      <c r="A21" s="17" t="s">
        <v>90</v>
      </c>
      <c r="B21" s="17" t="s">
        <v>129</v>
      </c>
      <c r="C21" s="17" t="s">
        <v>91</v>
      </c>
      <c r="D21" s="17" t="s">
        <v>147</v>
      </c>
      <c r="E21" s="17" t="s">
        <v>36</v>
      </c>
      <c r="F21" s="6" t="n">
        <v>912305</v>
      </c>
      <c r="G21" s="6" t="n">
        <v>1212118</v>
      </c>
      <c r="H21" s="6" t="n">
        <v>920621</v>
      </c>
      <c r="I21" s="6" t="n">
        <v>834255</v>
      </c>
      <c r="J21" s="7" t="n">
        <v>286131</v>
      </c>
      <c r="K21" s="18" t="n">
        <v>4165430</v>
      </c>
    </row>
    <row r="22" customFormat="false" ht="15" hidden="false" customHeight="false" outlineLevel="0" collapsed="false">
      <c r="A22" s="17" t="s">
        <v>90</v>
      </c>
      <c r="B22" s="17" t="s">
        <v>148</v>
      </c>
      <c r="C22" s="17" t="s">
        <v>91</v>
      </c>
      <c r="D22" s="17" t="s">
        <v>134</v>
      </c>
      <c r="E22" s="17" t="s">
        <v>36</v>
      </c>
      <c r="F22" s="6" t="n">
        <v>0</v>
      </c>
      <c r="G22" s="6" t="n">
        <v>53904</v>
      </c>
      <c r="H22" s="6" t="n">
        <v>1008626</v>
      </c>
      <c r="I22" s="6" t="n">
        <v>1882188</v>
      </c>
      <c r="J22" s="7" t="n">
        <v>1102106</v>
      </c>
      <c r="K22" s="18" t="n">
        <v>4046824</v>
      </c>
    </row>
    <row r="23" customFormat="false" ht="15" hidden="false" customHeight="false" outlineLevel="0" collapsed="false">
      <c r="A23" s="17" t="s">
        <v>90</v>
      </c>
      <c r="B23" s="17" t="s">
        <v>149</v>
      </c>
      <c r="C23" s="17" t="s">
        <v>93</v>
      </c>
      <c r="D23" s="17" t="s">
        <v>128</v>
      </c>
      <c r="E23" s="17" t="s">
        <v>36</v>
      </c>
      <c r="F23" s="6" t="n">
        <v>821311</v>
      </c>
      <c r="G23" s="6" t="n">
        <v>743835</v>
      </c>
      <c r="H23" s="6" t="n">
        <v>145380</v>
      </c>
      <c r="I23" s="6" t="n">
        <v>1416209</v>
      </c>
      <c r="J23" s="7" t="n">
        <v>770615</v>
      </c>
      <c r="K23" s="18" t="n">
        <v>3897350</v>
      </c>
    </row>
    <row r="24" customFormat="false" ht="15" hidden="false" customHeight="false" outlineLevel="0" collapsed="false">
      <c r="A24" s="17" t="s">
        <v>90</v>
      </c>
      <c r="B24" s="17" t="s">
        <v>132</v>
      </c>
      <c r="C24" s="17" t="s">
        <v>95</v>
      </c>
      <c r="D24" s="17" t="s">
        <v>150</v>
      </c>
      <c r="E24" s="17" t="s">
        <v>36</v>
      </c>
      <c r="F24" s="6" t="n">
        <v>1566720</v>
      </c>
      <c r="G24" s="6" t="n">
        <v>1606026</v>
      </c>
      <c r="H24" s="6" t="n">
        <v>186665</v>
      </c>
      <c r="I24" s="6" t="n">
        <v>108683</v>
      </c>
      <c r="J24" s="7" t="n">
        <v>368568</v>
      </c>
      <c r="K24" s="18" t="n">
        <v>3836662</v>
      </c>
    </row>
    <row r="25" customFormat="false" ht="15" hidden="false" customHeight="false" outlineLevel="0" collapsed="false">
      <c r="A25" s="17" t="s">
        <v>95</v>
      </c>
      <c r="B25" s="17" t="s">
        <v>151</v>
      </c>
      <c r="C25" s="17" t="s">
        <v>100</v>
      </c>
      <c r="D25" s="17" t="s">
        <v>100</v>
      </c>
      <c r="E25" s="17" t="s">
        <v>50</v>
      </c>
      <c r="F25" s="6" t="n">
        <v>476782</v>
      </c>
      <c r="G25" s="6" t="n">
        <v>240853</v>
      </c>
      <c r="H25" s="6" t="n">
        <v>923812</v>
      </c>
      <c r="I25" s="6" t="n">
        <v>1092546</v>
      </c>
      <c r="J25" s="7" t="n">
        <v>901269</v>
      </c>
      <c r="K25" s="18" t="n">
        <v>3635262</v>
      </c>
    </row>
    <row r="26" customFormat="false" ht="15" hidden="false" customHeight="false" outlineLevel="0" collapsed="false">
      <c r="A26" s="17" t="s">
        <v>90</v>
      </c>
      <c r="B26" s="17" t="s">
        <v>152</v>
      </c>
      <c r="C26" s="17" t="s">
        <v>91</v>
      </c>
      <c r="D26" s="17" t="s">
        <v>134</v>
      </c>
      <c r="E26" s="17" t="s">
        <v>36</v>
      </c>
      <c r="F26" s="6" t="n">
        <v>1376244</v>
      </c>
      <c r="G26" s="6" t="n">
        <v>153343</v>
      </c>
      <c r="H26" s="6" t="n">
        <v>78675</v>
      </c>
      <c r="I26" s="6" t="n">
        <v>1126031</v>
      </c>
      <c r="J26" s="7" t="n">
        <v>890741</v>
      </c>
      <c r="K26" s="18" t="n">
        <v>3625034</v>
      </c>
    </row>
    <row r="27" customFormat="false" ht="15" hidden="false" customHeight="false" outlineLevel="0" collapsed="false">
      <c r="A27" s="17" t="s">
        <v>90</v>
      </c>
      <c r="B27" s="17" t="s">
        <v>153</v>
      </c>
      <c r="C27" s="17" t="s">
        <v>97</v>
      </c>
      <c r="D27" s="17" t="s">
        <v>133</v>
      </c>
      <c r="E27" s="17" t="s">
        <v>36</v>
      </c>
      <c r="F27" s="6" t="n">
        <v>1360801</v>
      </c>
      <c r="G27" s="6" t="n">
        <v>794457</v>
      </c>
      <c r="H27" s="6" t="n">
        <v>327472</v>
      </c>
      <c r="I27" s="6" t="n">
        <v>610631</v>
      </c>
      <c r="J27" s="7" t="n">
        <v>437679</v>
      </c>
      <c r="K27" s="18" t="n">
        <v>3531040</v>
      </c>
    </row>
    <row r="28" customFormat="false" ht="15" hidden="false" customHeight="false" outlineLevel="0" collapsed="false">
      <c r="A28" s="17" t="s">
        <v>95</v>
      </c>
      <c r="B28" s="17" t="s">
        <v>154</v>
      </c>
      <c r="C28" s="17" t="s">
        <v>91</v>
      </c>
      <c r="D28" s="17" t="s">
        <v>134</v>
      </c>
      <c r="E28" s="17" t="s">
        <v>40</v>
      </c>
      <c r="F28" s="6" t="n">
        <v>137396</v>
      </c>
      <c r="G28" s="6" t="n">
        <v>813319</v>
      </c>
      <c r="H28" s="6" t="n">
        <v>960467</v>
      </c>
      <c r="I28" s="6" t="n">
        <v>1008954</v>
      </c>
      <c r="J28" s="7" t="n">
        <v>539820</v>
      </c>
      <c r="K28" s="18" t="n">
        <v>3459956</v>
      </c>
    </row>
    <row r="29" customFormat="false" ht="15" hidden="false" customHeight="false" outlineLevel="0" collapsed="false">
      <c r="A29" s="17" t="s">
        <v>95</v>
      </c>
      <c r="B29" s="17" t="s">
        <v>155</v>
      </c>
      <c r="C29" s="17" t="s">
        <v>91</v>
      </c>
      <c r="D29" s="17" t="s">
        <v>156</v>
      </c>
      <c r="E29" s="17" t="s">
        <v>38</v>
      </c>
      <c r="F29" s="6" t="n">
        <v>560259</v>
      </c>
      <c r="G29" s="6" t="n">
        <v>553222</v>
      </c>
      <c r="H29" s="6" t="n">
        <v>863430</v>
      </c>
      <c r="I29" s="6" t="n">
        <v>833429</v>
      </c>
      <c r="J29" s="7" t="n">
        <v>606440</v>
      </c>
      <c r="K29" s="18" t="n">
        <v>3416780</v>
      </c>
    </row>
    <row r="30" customFormat="false" ht="15" hidden="false" customHeight="false" outlineLevel="0" collapsed="false">
      <c r="A30" s="17" t="s">
        <v>90</v>
      </c>
      <c r="B30" s="17" t="s">
        <v>140</v>
      </c>
      <c r="C30" s="17" t="s">
        <v>93</v>
      </c>
      <c r="D30" s="17" t="s">
        <v>131</v>
      </c>
      <c r="E30" s="17" t="s">
        <v>36</v>
      </c>
      <c r="F30" s="6" t="n">
        <v>1145545</v>
      </c>
      <c r="G30" s="6" t="n">
        <v>1121236</v>
      </c>
      <c r="H30" s="6" t="n">
        <v>448119</v>
      </c>
      <c r="I30" s="6" t="n">
        <v>390158</v>
      </c>
      <c r="J30" s="7" t="n">
        <v>293732</v>
      </c>
      <c r="K30" s="18" t="n">
        <v>3398790</v>
      </c>
    </row>
    <row r="31" customFormat="false" ht="15" hidden="false" customHeight="false" outlineLevel="0" collapsed="false">
      <c r="A31" s="17" t="s">
        <v>90</v>
      </c>
      <c r="B31" s="17" t="s">
        <v>148</v>
      </c>
      <c r="C31" s="17" t="s">
        <v>102</v>
      </c>
      <c r="D31" s="17" t="s">
        <v>157</v>
      </c>
      <c r="E31" s="17" t="s">
        <v>36</v>
      </c>
      <c r="F31" s="6" t="n">
        <v>1080372</v>
      </c>
      <c r="G31" s="6" t="n">
        <v>600628</v>
      </c>
      <c r="H31" s="6" t="n">
        <v>161349</v>
      </c>
      <c r="I31" s="6" t="n">
        <v>769248</v>
      </c>
      <c r="J31" s="7" t="n">
        <v>758032</v>
      </c>
      <c r="K31" s="18" t="n">
        <v>3369629</v>
      </c>
    </row>
    <row r="32" customFormat="false" ht="15" hidden="false" customHeight="false" outlineLevel="0" collapsed="false">
      <c r="A32" s="17" t="s">
        <v>90</v>
      </c>
      <c r="B32" s="17" t="s">
        <v>148</v>
      </c>
      <c r="C32" s="17" t="s">
        <v>97</v>
      </c>
      <c r="D32" s="17" t="s">
        <v>133</v>
      </c>
      <c r="E32" s="17" t="s">
        <v>36</v>
      </c>
      <c r="F32" s="6" t="n">
        <v>260150</v>
      </c>
      <c r="G32" s="6" t="n">
        <v>571799</v>
      </c>
      <c r="H32" s="6" t="n">
        <v>890784</v>
      </c>
      <c r="I32" s="6" t="n">
        <v>788660</v>
      </c>
      <c r="J32" s="7" t="n">
        <v>747135</v>
      </c>
      <c r="K32" s="18" t="n">
        <v>3258528</v>
      </c>
    </row>
    <row r="33" customFormat="false" ht="15" hidden="false" customHeight="false" outlineLevel="0" collapsed="false">
      <c r="A33" s="17" t="s">
        <v>90</v>
      </c>
      <c r="B33" s="17" t="s">
        <v>132</v>
      </c>
      <c r="C33" s="17" t="s">
        <v>95</v>
      </c>
      <c r="D33" s="17" t="s">
        <v>158</v>
      </c>
      <c r="E33" s="17" t="s">
        <v>36</v>
      </c>
      <c r="F33" s="6" t="n">
        <v>664375</v>
      </c>
      <c r="G33" s="6" t="n">
        <v>358230</v>
      </c>
      <c r="H33" s="6" t="n">
        <v>176059</v>
      </c>
      <c r="I33" s="6" t="n">
        <v>906793</v>
      </c>
      <c r="J33" s="7" t="n">
        <v>1056380</v>
      </c>
      <c r="K33" s="18" t="n">
        <v>3161837</v>
      </c>
    </row>
    <row r="34" customFormat="false" ht="15" hidden="false" customHeight="false" outlineLevel="0" collapsed="false">
      <c r="A34" s="17" t="s">
        <v>90</v>
      </c>
      <c r="B34" s="17" t="s">
        <v>140</v>
      </c>
      <c r="C34" s="17" t="s">
        <v>95</v>
      </c>
      <c r="D34" s="17" t="s">
        <v>150</v>
      </c>
      <c r="E34" s="17" t="s">
        <v>36</v>
      </c>
      <c r="F34" s="6" t="n">
        <v>1315056</v>
      </c>
      <c r="G34" s="6" t="n">
        <v>902399</v>
      </c>
      <c r="H34" s="6" t="n">
        <v>657778</v>
      </c>
      <c r="I34" s="6" t="n">
        <v>126523</v>
      </c>
      <c r="J34" s="7" t="n">
        <v>126611</v>
      </c>
      <c r="K34" s="18" t="n">
        <v>3128367</v>
      </c>
    </row>
    <row r="35" customFormat="false" ht="15" hidden="false" customHeight="false" outlineLevel="0" collapsed="false">
      <c r="A35" s="17" t="s">
        <v>90</v>
      </c>
      <c r="B35" s="17" t="s">
        <v>159</v>
      </c>
      <c r="C35" s="17" t="s">
        <v>91</v>
      </c>
      <c r="D35" s="17" t="s">
        <v>134</v>
      </c>
      <c r="E35" s="17" t="s">
        <v>36</v>
      </c>
      <c r="F35" s="6" t="n">
        <v>0</v>
      </c>
      <c r="G35" s="6" t="n">
        <v>611103</v>
      </c>
      <c r="H35" s="6" t="n">
        <v>1120800</v>
      </c>
      <c r="I35" s="6" t="n">
        <v>1041341</v>
      </c>
      <c r="J35" s="7" t="n">
        <v>298558</v>
      </c>
      <c r="K35" s="18" t="n">
        <v>3071802</v>
      </c>
    </row>
    <row r="36" customFormat="false" ht="15" hidden="false" customHeight="false" outlineLevel="0" collapsed="false">
      <c r="A36" s="17" t="s">
        <v>90</v>
      </c>
      <c r="B36" s="17" t="s">
        <v>127</v>
      </c>
      <c r="C36" s="17" t="s">
        <v>95</v>
      </c>
      <c r="D36" s="17" t="s">
        <v>150</v>
      </c>
      <c r="E36" s="17" t="s">
        <v>36</v>
      </c>
      <c r="F36" s="6" t="n">
        <v>457087</v>
      </c>
      <c r="G36" s="6" t="n">
        <v>531278</v>
      </c>
      <c r="H36" s="6" t="n">
        <v>185244</v>
      </c>
      <c r="I36" s="6" t="n">
        <v>1292696</v>
      </c>
      <c r="J36" s="7" t="n">
        <v>560590</v>
      </c>
      <c r="K36" s="18" t="n">
        <v>3026895</v>
      </c>
    </row>
    <row r="37" customFormat="false" ht="15" hidden="false" customHeight="false" outlineLevel="0" collapsed="false">
      <c r="A37" s="17" t="s">
        <v>95</v>
      </c>
      <c r="B37" s="17" t="s">
        <v>155</v>
      </c>
      <c r="C37" s="17" t="s">
        <v>91</v>
      </c>
      <c r="D37" s="17" t="s">
        <v>160</v>
      </c>
      <c r="E37" s="17" t="s">
        <v>38</v>
      </c>
      <c r="F37" s="6" t="n">
        <v>199275</v>
      </c>
      <c r="G37" s="6" t="n">
        <v>529228</v>
      </c>
      <c r="H37" s="6" t="n">
        <v>577291</v>
      </c>
      <c r="I37" s="6" t="n">
        <v>878997</v>
      </c>
      <c r="J37" s="7" t="n">
        <v>616078</v>
      </c>
      <c r="K37" s="18" t="n">
        <v>2800869</v>
      </c>
    </row>
    <row r="38" customFormat="false" ht="15" hidden="false" customHeight="false" outlineLevel="0" collapsed="false">
      <c r="A38" s="17" t="s">
        <v>90</v>
      </c>
      <c r="B38" s="17" t="s">
        <v>161</v>
      </c>
      <c r="C38" s="17" t="s">
        <v>97</v>
      </c>
      <c r="D38" s="17" t="s">
        <v>133</v>
      </c>
      <c r="E38" s="17" t="s">
        <v>36</v>
      </c>
      <c r="F38" s="6" t="n">
        <v>498023</v>
      </c>
      <c r="G38" s="6" t="n">
        <v>997491</v>
      </c>
      <c r="H38" s="6" t="n">
        <v>536774</v>
      </c>
      <c r="I38" s="6" t="n">
        <v>330556</v>
      </c>
      <c r="J38" s="7" t="n">
        <v>393355</v>
      </c>
      <c r="K38" s="18" t="n">
        <v>2756199</v>
      </c>
    </row>
    <row r="39" customFormat="false" ht="15" hidden="false" customHeight="false" outlineLevel="0" collapsed="false">
      <c r="A39" s="17" t="s">
        <v>90</v>
      </c>
      <c r="B39" s="17" t="s">
        <v>132</v>
      </c>
      <c r="C39" s="17" t="s">
        <v>95</v>
      </c>
      <c r="D39" s="17" t="s">
        <v>162</v>
      </c>
      <c r="E39" s="17" t="s">
        <v>36</v>
      </c>
      <c r="F39" s="6" t="n">
        <v>651932</v>
      </c>
      <c r="G39" s="6" t="n">
        <v>284783</v>
      </c>
      <c r="H39" s="6" t="n">
        <v>354216</v>
      </c>
      <c r="I39" s="6" t="n">
        <v>482749</v>
      </c>
      <c r="J39" s="7" t="n">
        <v>939340</v>
      </c>
      <c r="K39" s="18" t="n">
        <v>2713020</v>
      </c>
    </row>
    <row r="40" customFormat="false" ht="15" hidden="false" customHeight="false" outlineLevel="0" collapsed="false">
      <c r="A40" s="17" t="s">
        <v>90</v>
      </c>
      <c r="B40" s="17" t="s">
        <v>149</v>
      </c>
      <c r="C40" s="17" t="s">
        <v>91</v>
      </c>
      <c r="D40" s="17" t="s">
        <v>163</v>
      </c>
      <c r="E40" s="17" t="s">
        <v>36</v>
      </c>
      <c r="F40" s="6" t="n">
        <v>423668</v>
      </c>
      <c r="G40" s="6" t="n">
        <v>882220</v>
      </c>
      <c r="H40" s="6" t="n">
        <v>334613</v>
      </c>
      <c r="I40" s="6" t="n">
        <v>458439</v>
      </c>
      <c r="J40" s="7" t="n">
        <v>601867</v>
      </c>
      <c r="K40" s="18" t="n">
        <v>2700807</v>
      </c>
    </row>
    <row r="41" customFormat="false" ht="15" hidden="false" customHeight="false" outlineLevel="0" collapsed="false">
      <c r="A41" s="17" t="s">
        <v>90</v>
      </c>
      <c r="B41" s="17" t="s">
        <v>132</v>
      </c>
      <c r="C41" s="17" t="s">
        <v>95</v>
      </c>
      <c r="D41" s="17" t="s">
        <v>164</v>
      </c>
      <c r="E41" s="17" t="s">
        <v>36</v>
      </c>
      <c r="F41" s="6" t="n">
        <v>1557563</v>
      </c>
      <c r="G41" s="6" t="n">
        <v>938588</v>
      </c>
      <c r="H41" s="6" t="n">
        <v>52528</v>
      </c>
      <c r="I41" s="6" t="n">
        <v>142049</v>
      </c>
      <c r="J41" s="7" t="n">
        <v>0</v>
      </c>
      <c r="K41" s="18" t="n">
        <v>2690728</v>
      </c>
    </row>
    <row r="42" customFormat="false" ht="15" hidden="false" customHeight="false" outlineLevel="0" collapsed="false">
      <c r="A42" s="17" t="s">
        <v>90</v>
      </c>
      <c r="B42" s="17" t="s">
        <v>142</v>
      </c>
      <c r="C42" s="17" t="s">
        <v>95</v>
      </c>
      <c r="D42" s="17" t="s">
        <v>162</v>
      </c>
      <c r="E42" s="17" t="s">
        <v>36</v>
      </c>
      <c r="F42" s="6" t="n">
        <v>249795</v>
      </c>
      <c r="G42" s="6" t="n">
        <v>574874</v>
      </c>
      <c r="H42" s="6" t="n">
        <v>65909</v>
      </c>
      <c r="I42" s="6" t="n">
        <v>739426</v>
      </c>
      <c r="J42" s="7" t="n">
        <v>1054631</v>
      </c>
      <c r="K42" s="18" t="n">
        <v>2684635</v>
      </c>
    </row>
    <row r="43" customFormat="false" ht="15" hidden="false" customHeight="false" outlineLevel="0" collapsed="false">
      <c r="A43" s="17" t="s">
        <v>90</v>
      </c>
      <c r="B43" s="17" t="s">
        <v>165</v>
      </c>
      <c r="C43" s="17" t="s">
        <v>97</v>
      </c>
      <c r="D43" s="17" t="s">
        <v>133</v>
      </c>
      <c r="E43" s="17" t="s">
        <v>36</v>
      </c>
      <c r="F43" s="6" t="n">
        <v>660257</v>
      </c>
      <c r="G43" s="6" t="n">
        <v>494426</v>
      </c>
      <c r="H43" s="6" t="n">
        <v>497010</v>
      </c>
      <c r="I43" s="6" t="n">
        <v>558277</v>
      </c>
      <c r="J43" s="7" t="n">
        <v>389699</v>
      </c>
      <c r="K43" s="18" t="n">
        <v>2599669</v>
      </c>
    </row>
    <row r="44" customFormat="false" ht="15" hidden="false" customHeight="false" outlineLevel="0" collapsed="false">
      <c r="A44" s="17" t="s">
        <v>90</v>
      </c>
      <c r="B44" s="17" t="s">
        <v>149</v>
      </c>
      <c r="C44" s="17" t="s">
        <v>93</v>
      </c>
      <c r="D44" s="17" t="s">
        <v>131</v>
      </c>
      <c r="E44" s="17" t="s">
        <v>36</v>
      </c>
      <c r="F44" s="6" t="n">
        <v>604441</v>
      </c>
      <c r="G44" s="6" t="n">
        <v>367580</v>
      </c>
      <c r="H44" s="6" t="n">
        <v>72275</v>
      </c>
      <c r="I44" s="6" t="n">
        <v>807348</v>
      </c>
      <c r="J44" s="7" t="n">
        <v>716056</v>
      </c>
      <c r="K44" s="18" t="n">
        <v>2567700</v>
      </c>
    </row>
    <row r="45" customFormat="false" ht="15" hidden="false" customHeight="false" outlineLevel="0" collapsed="false">
      <c r="A45" s="17" t="s">
        <v>90</v>
      </c>
      <c r="B45" s="17" t="s">
        <v>149</v>
      </c>
      <c r="C45" s="17" t="s">
        <v>91</v>
      </c>
      <c r="D45" s="17" t="s">
        <v>156</v>
      </c>
      <c r="E45" s="17" t="s">
        <v>36</v>
      </c>
      <c r="F45" s="6" t="n">
        <v>631505</v>
      </c>
      <c r="G45" s="6" t="n">
        <v>657215</v>
      </c>
      <c r="H45" s="6" t="n">
        <v>526807</v>
      </c>
      <c r="I45" s="6" t="n">
        <v>590811</v>
      </c>
      <c r="J45" s="7" t="n">
        <v>160218</v>
      </c>
      <c r="K45" s="18" t="n">
        <v>2566556</v>
      </c>
    </row>
    <row r="46" customFormat="false" ht="15" hidden="false" customHeight="false" outlineLevel="0" collapsed="false">
      <c r="A46" s="17" t="s">
        <v>90</v>
      </c>
      <c r="B46" s="17" t="s">
        <v>165</v>
      </c>
      <c r="C46" s="17" t="s">
        <v>93</v>
      </c>
      <c r="D46" s="17" t="s">
        <v>131</v>
      </c>
      <c r="E46" s="17" t="s">
        <v>36</v>
      </c>
      <c r="F46" s="6" t="n">
        <v>744265</v>
      </c>
      <c r="G46" s="6" t="n">
        <v>436515</v>
      </c>
      <c r="H46" s="6" t="n">
        <v>610814</v>
      </c>
      <c r="I46" s="6" t="n">
        <v>567075</v>
      </c>
      <c r="J46" s="7" t="n">
        <v>150603</v>
      </c>
      <c r="K46" s="18" t="n">
        <v>2509272</v>
      </c>
    </row>
    <row r="47" customFormat="false" ht="15" hidden="false" customHeight="false" outlineLevel="0" collapsed="false">
      <c r="A47" s="17" t="s">
        <v>90</v>
      </c>
      <c r="B47" s="17" t="s">
        <v>127</v>
      </c>
      <c r="C47" s="17" t="s">
        <v>95</v>
      </c>
      <c r="D47" s="17" t="s">
        <v>162</v>
      </c>
      <c r="E47" s="17" t="s">
        <v>36</v>
      </c>
      <c r="F47" s="6" t="n">
        <v>274424</v>
      </c>
      <c r="G47" s="6" t="n">
        <v>153079</v>
      </c>
      <c r="H47" s="6" t="n">
        <v>539149</v>
      </c>
      <c r="I47" s="6" t="n">
        <v>1126561</v>
      </c>
      <c r="J47" s="7" t="n">
        <v>397047</v>
      </c>
      <c r="K47" s="18" t="n">
        <v>2490260</v>
      </c>
    </row>
    <row r="48" customFormat="false" ht="15" hidden="false" customHeight="false" outlineLevel="0" collapsed="false">
      <c r="A48" s="17" t="s">
        <v>90</v>
      </c>
      <c r="B48" s="17" t="s">
        <v>166</v>
      </c>
      <c r="C48" s="17" t="s">
        <v>93</v>
      </c>
      <c r="D48" s="17" t="s">
        <v>135</v>
      </c>
      <c r="E48" s="17" t="s">
        <v>36</v>
      </c>
      <c r="F48" s="6" t="n">
        <v>195116</v>
      </c>
      <c r="G48" s="6" t="n">
        <v>752902</v>
      </c>
      <c r="H48" s="6" t="n">
        <v>615285</v>
      </c>
      <c r="I48" s="6" t="n">
        <v>686451</v>
      </c>
      <c r="J48" s="7" t="n">
        <v>74790</v>
      </c>
      <c r="K48" s="18" t="n">
        <v>2324544</v>
      </c>
    </row>
    <row r="49" customFormat="false" ht="15" hidden="false" customHeight="false" outlineLevel="0" collapsed="false">
      <c r="A49" s="17" t="s">
        <v>90</v>
      </c>
      <c r="B49" s="17" t="s">
        <v>129</v>
      </c>
      <c r="C49" s="17" t="s">
        <v>91</v>
      </c>
      <c r="D49" s="17" t="s">
        <v>143</v>
      </c>
      <c r="E49" s="17" t="s">
        <v>36</v>
      </c>
      <c r="F49" s="6" t="n">
        <v>194665</v>
      </c>
      <c r="G49" s="6" t="n">
        <v>1097482</v>
      </c>
      <c r="H49" s="6" t="n">
        <v>490752</v>
      </c>
      <c r="I49" s="6" t="n">
        <v>156826</v>
      </c>
      <c r="J49" s="7" t="n">
        <v>382391</v>
      </c>
      <c r="K49" s="18" t="n">
        <v>2322116</v>
      </c>
    </row>
    <row r="50" customFormat="false" ht="15" hidden="false" customHeight="false" outlineLevel="0" collapsed="false">
      <c r="A50" s="17" t="s">
        <v>90</v>
      </c>
      <c r="B50" s="17" t="s">
        <v>140</v>
      </c>
      <c r="C50" s="17" t="s">
        <v>91</v>
      </c>
      <c r="D50" s="17" t="s">
        <v>167</v>
      </c>
      <c r="E50" s="17" t="s">
        <v>36</v>
      </c>
      <c r="F50" s="6" t="n">
        <v>324418</v>
      </c>
      <c r="G50" s="6" t="n">
        <v>337515</v>
      </c>
      <c r="H50" s="6" t="n">
        <v>659723</v>
      </c>
      <c r="I50" s="6" t="n">
        <v>385304</v>
      </c>
      <c r="J50" s="7" t="n">
        <v>610979</v>
      </c>
      <c r="K50" s="18" t="n">
        <v>2317939</v>
      </c>
    </row>
    <row r="51" customFormat="false" ht="15" hidden="false" customHeight="false" outlineLevel="0" collapsed="false">
      <c r="A51" s="17" t="s">
        <v>90</v>
      </c>
      <c r="B51" s="17" t="s">
        <v>140</v>
      </c>
      <c r="C51" s="17" t="s">
        <v>95</v>
      </c>
      <c r="D51" s="17" t="s">
        <v>162</v>
      </c>
      <c r="E51" s="17" t="s">
        <v>36</v>
      </c>
      <c r="F51" s="6" t="n">
        <v>351814</v>
      </c>
      <c r="G51" s="6" t="n">
        <v>604841</v>
      </c>
      <c r="H51" s="6" t="n">
        <v>427338</v>
      </c>
      <c r="I51" s="6" t="n">
        <v>655583</v>
      </c>
      <c r="J51" s="7" t="n">
        <v>224513</v>
      </c>
      <c r="K51" s="18" t="n">
        <v>2264089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19" t="s">
        <v>25</v>
      </c>
      <c r="B2" s="19" t="s">
        <v>169</v>
      </c>
      <c r="C2" s="19" t="s">
        <v>170</v>
      </c>
    </row>
    <row r="3" customFormat="false" ht="15" hidden="false" customHeight="false" outlineLevel="0" collapsed="false">
      <c r="A3" s="17" t="s">
        <v>36</v>
      </c>
      <c r="B3" s="6" t="n">
        <v>1517673784</v>
      </c>
      <c r="C3" s="20" t="n">
        <v>0.643211902214567</v>
      </c>
    </row>
    <row r="4" customFormat="false" ht="15" hidden="false" customHeight="false" outlineLevel="0" collapsed="false">
      <c r="A4" s="17" t="s">
        <v>42</v>
      </c>
      <c r="B4" s="6" t="n">
        <v>232722930</v>
      </c>
      <c r="C4" s="20" t="n">
        <v>0.0986313133114299</v>
      </c>
    </row>
    <row r="5" customFormat="false" ht="15" hidden="false" customHeight="false" outlineLevel="0" collapsed="false">
      <c r="A5" s="17" t="s">
        <v>50</v>
      </c>
      <c r="B5" s="6" t="n">
        <v>155807359</v>
      </c>
      <c r="C5" s="20" t="n">
        <v>0.0660333919040786</v>
      </c>
    </row>
    <row r="6" customFormat="false" ht="15" hidden="false" customHeight="false" outlineLevel="0" collapsed="false">
      <c r="A6" s="17" t="s">
        <v>38</v>
      </c>
      <c r="B6" s="6" t="n">
        <v>126789072</v>
      </c>
      <c r="C6" s="20" t="n">
        <v>0.0537350259593992</v>
      </c>
    </row>
    <row r="7" customFormat="false" ht="15" hidden="false" customHeight="false" outlineLevel="0" collapsed="false">
      <c r="A7" s="17" t="s">
        <v>52</v>
      </c>
      <c r="B7" s="6" t="n">
        <v>40323667</v>
      </c>
      <c r="C7" s="20" t="n">
        <v>0.0170897480267319</v>
      </c>
    </row>
    <row r="8" customFormat="false" ht="15" hidden="false" customHeight="false" outlineLevel="0" collapsed="false">
      <c r="A8" s="17" t="s">
        <v>40</v>
      </c>
      <c r="B8" s="6" t="n">
        <v>34269660</v>
      </c>
      <c r="C8" s="20" t="n">
        <v>0.0145239730890986</v>
      </c>
    </row>
    <row r="9" customFormat="false" ht="15" hidden="false" customHeight="false" outlineLevel="0" collapsed="false">
      <c r="A9" s="17" t="s">
        <v>66</v>
      </c>
      <c r="B9" s="6" t="n">
        <v>33602702</v>
      </c>
      <c r="C9" s="20" t="n">
        <v>0.0142413067293052</v>
      </c>
    </row>
    <row r="10" customFormat="false" ht="15" hidden="false" customHeight="false" outlineLevel="0" collapsed="false">
      <c r="A10" s="17" t="s">
        <v>46</v>
      </c>
      <c r="B10" s="6" t="n">
        <v>30581091</v>
      </c>
      <c r="C10" s="20" t="n">
        <v>0.0129607046792783</v>
      </c>
    </row>
    <row r="11" customFormat="false" ht="15" hidden="false" customHeight="false" outlineLevel="0" collapsed="false">
      <c r="A11" s="17" t="s">
        <v>171</v>
      </c>
      <c r="B11" s="6" t="n">
        <v>26993916</v>
      </c>
      <c r="C11" s="20" t="n">
        <v>0.0114404084999206</v>
      </c>
    </row>
    <row r="12" customFormat="false" ht="15" hidden="false" customHeight="false" outlineLevel="0" collapsed="false">
      <c r="A12" s="17" t="s">
        <v>78</v>
      </c>
      <c r="B12" s="6" t="n">
        <v>22606736</v>
      </c>
      <c r="C12" s="20" t="n">
        <v>0.00958105873522984</v>
      </c>
    </row>
    <row r="13" customFormat="false" ht="15" hidden="false" customHeight="false" outlineLevel="0" collapsed="false">
      <c r="A13" s="17" t="s">
        <v>48</v>
      </c>
      <c r="B13" s="6" t="n">
        <v>20839022</v>
      </c>
      <c r="C13" s="20" t="n">
        <v>0.00883187620569138</v>
      </c>
    </row>
    <row r="14" customFormat="false" ht="15" hidden="false" customHeight="false" outlineLevel="0" collapsed="false">
      <c r="A14" s="17" t="s">
        <v>58</v>
      </c>
      <c r="B14" s="6" t="n">
        <v>18764761</v>
      </c>
      <c r="C14" s="20" t="n">
        <v>0.00795277466386789</v>
      </c>
    </row>
    <row r="15" customFormat="false" ht="15" hidden="false" customHeight="false" outlineLevel="0" collapsed="false">
      <c r="A15" s="17" t="s">
        <v>172</v>
      </c>
      <c r="B15" s="6" t="n">
        <v>16484296</v>
      </c>
      <c r="C15" s="20" t="n">
        <v>0.0069862809113582</v>
      </c>
    </row>
    <row r="16" customFormat="false" ht="15" hidden="false" customHeight="false" outlineLevel="0" collapsed="false">
      <c r="A16" s="17" t="s">
        <v>64</v>
      </c>
      <c r="B16" s="6" t="n">
        <v>16280566</v>
      </c>
      <c r="C16" s="20" t="n">
        <v>0.00689993721733142</v>
      </c>
    </row>
    <row r="17" customFormat="false" ht="15" hidden="false" customHeight="false" outlineLevel="0" collapsed="false">
      <c r="A17" s="17" t="s">
        <v>56</v>
      </c>
      <c r="B17" s="6" t="n">
        <v>13216592</v>
      </c>
      <c r="C17" s="20" t="n">
        <v>0.00560138112072299</v>
      </c>
    </row>
    <row r="18" customFormat="false" ht="15" hidden="false" customHeight="false" outlineLevel="0" collapsed="false">
      <c r="A18" s="17" t="s">
        <v>173</v>
      </c>
      <c r="B18" s="6" t="n">
        <v>11478749</v>
      </c>
      <c r="C18" s="20" t="n">
        <v>0.0048648583491204</v>
      </c>
    </row>
    <row r="19" customFormat="false" ht="15" hidden="false" customHeight="false" outlineLevel="0" collapsed="false">
      <c r="A19" s="17" t="s">
        <v>54</v>
      </c>
      <c r="B19" s="6" t="n">
        <v>11201647</v>
      </c>
      <c r="C19" s="20" t="n">
        <v>0.00474741854986545</v>
      </c>
    </row>
    <row r="20" customFormat="false" ht="15" hidden="false" customHeight="false" outlineLevel="0" collapsed="false">
      <c r="A20" s="17" t="s">
        <v>68</v>
      </c>
      <c r="B20" s="6" t="n">
        <v>10432329</v>
      </c>
      <c r="C20" s="20" t="n">
        <v>0.00442137055496387</v>
      </c>
    </row>
    <row r="21" customFormat="false" ht="15" hidden="false" customHeight="false" outlineLevel="0" collapsed="false">
      <c r="A21" s="17" t="s">
        <v>174</v>
      </c>
      <c r="B21" s="6" t="n">
        <v>10032074</v>
      </c>
      <c r="C21" s="20" t="n">
        <v>0.00425173674917831</v>
      </c>
    </row>
    <row r="22" customFormat="false" ht="15" hidden="false" customHeight="false" outlineLevel="0" collapsed="false">
      <c r="A22" s="17" t="s">
        <v>44</v>
      </c>
      <c r="B22" s="6" t="n">
        <v>9422835</v>
      </c>
      <c r="C22" s="20" t="n">
        <v>0.00399353252886129</v>
      </c>
    </row>
    <row r="25" customFormat="false" ht="17.35" hidden="false" customHeight="false" outlineLevel="0" collapsed="false">
      <c r="A25" s="1" t="s">
        <v>175</v>
      </c>
    </row>
    <row r="26" customFormat="false" ht="15" hidden="false" customHeight="false" outlineLevel="0" collapsed="false">
      <c r="A26" s="19" t="s">
        <v>25</v>
      </c>
      <c r="B26" s="19" t="s">
        <v>169</v>
      </c>
      <c r="C26" s="19" t="s">
        <v>170</v>
      </c>
    </row>
    <row r="27" customFormat="false" ht="15" hidden="false" customHeight="false" outlineLevel="0" collapsed="false">
      <c r="A27" s="17" t="s">
        <v>46</v>
      </c>
      <c r="B27" s="6" t="n">
        <v>126585114</v>
      </c>
      <c r="C27" s="20" t="n">
        <v>0.163406180057343</v>
      </c>
    </row>
    <row r="28" customFormat="false" ht="15" hidden="false" customHeight="false" outlineLevel="0" collapsed="false">
      <c r="A28" s="17" t="s">
        <v>36</v>
      </c>
      <c r="B28" s="6" t="n">
        <v>119758890</v>
      </c>
      <c r="C28" s="20" t="n">
        <v>0.154594344662103</v>
      </c>
    </row>
    <row r="29" customFormat="false" ht="15" hidden="false" customHeight="false" outlineLevel="0" collapsed="false">
      <c r="A29" s="17" t="s">
        <v>176</v>
      </c>
      <c r="B29" s="6" t="n">
        <v>106186466</v>
      </c>
      <c r="C29" s="20" t="n">
        <v>0.137073975245217</v>
      </c>
    </row>
    <row r="30" customFormat="false" ht="15" hidden="false" customHeight="false" outlineLevel="0" collapsed="false">
      <c r="A30" s="17" t="s">
        <v>66</v>
      </c>
      <c r="B30" s="6" t="n">
        <v>80423473</v>
      </c>
      <c r="C30" s="20" t="n">
        <v>0.103817045263907</v>
      </c>
    </row>
    <row r="31" customFormat="false" ht="15" hidden="false" customHeight="false" outlineLevel="0" collapsed="false">
      <c r="A31" s="17" t="s">
        <v>177</v>
      </c>
      <c r="B31" s="6" t="n">
        <v>65663807</v>
      </c>
      <c r="C31" s="20" t="n">
        <v>0.0847640890056996</v>
      </c>
    </row>
    <row r="32" customFormat="false" ht="15" hidden="false" customHeight="false" outlineLevel="0" collapsed="false">
      <c r="A32" s="17" t="s">
        <v>70</v>
      </c>
      <c r="B32" s="6" t="n">
        <v>62437332</v>
      </c>
      <c r="C32" s="20" t="n">
        <v>0.0805990972610896</v>
      </c>
    </row>
    <row r="33" customFormat="false" ht="15" hidden="false" customHeight="false" outlineLevel="0" collapsed="false">
      <c r="A33" s="17" t="s">
        <v>178</v>
      </c>
      <c r="B33" s="6" t="n">
        <v>29997910</v>
      </c>
      <c r="C33" s="20" t="n">
        <v>0.0387236992400542</v>
      </c>
    </row>
    <row r="34" customFormat="false" ht="15" hidden="false" customHeight="false" outlineLevel="0" collapsed="false">
      <c r="A34" s="17" t="s">
        <v>44</v>
      </c>
      <c r="B34" s="6" t="n">
        <v>24644162</v>
      </c>
      <c r="C34" s="20" t="n">
        <v>0.0318126535252347</v>
      </c>
    </row>
    <row r="35" customFormat="false" ht="15" hidden="false" customHeight="false" outlineLevel="0" collapsed="false">
      <c r="A35" s="17" t="s">
        <v>179</v>
      </c>
      <c r="B35" s="6" t="n">
        <v>20194085</v>
      </c>
      <c r="C35" s="20" t="n">
        <v>0.0260681385459217</v>
      </c>
    </row>
    <row r="36" customFormat="false" ht="15" hidden="false" customHeight="false" outlineLevel="0" collapsed="false">
      <c r="A36" s="17" t="s">
        <v>180</v>
      </c>
      <c r="B36" s="6" t="n">
        <v>19264485</v>
      </c>
      <c r="C36" s="20" t="n">
        <v>0.0248681365853333</v>
      </c>
    </row>
    <row r="37" customFormat="false" ht="15" hidden="false" customHeight="false" outlineLevel="0" collapsed="false">
      <c r="A37" s="17" t="s">
        <v>48</v>
      </c>
      <c r="B37" s="6" t="n">
        <v>17474286</v>
      </c>
      <c r="C37" s="20" t="n">
        <v>0.0225572046685483</v>
      </c>
    </row>
    <row r="38" customFormat="false" ht="15" hidden="false" customHeight="false" outlineLevel="0" collapsed="false">
      <c r="A38" s="17" t="s">
        <v>76</v>
      </c>
      <c r="B38" s="6" t="n">
        <v>15281465</v>
      </c>
      <c r="C38" s="20" t="n">
        <v>0.0197265361022623</v>
      </c>
    </row>
    <row r="39" customFormat="false" ht="15" hidden="false" customHeight="false" outlineLevel="0" collapsed="false">
      <c r="A39" s="17" t="s">
        <v>181</v>
      </c>
      <c r="B39" s="6" t="n">
        <v>13198669</v>
      </c>
      <c r="C39" s="20" t="n">
        <v>0.0170378965976305</v>
      </c>
    </row>
    <row r="40" customFormat="false" ht="15" hidden="false" customHeight="false" outlineLevel="0" collapsed="false">
      <c r="A40" s="17" t="s">
        <v>40</v>
      </c>
      <c r="B40" s="6" t="n">
        <v>12719696</v>
      </c>
      <c r="C40" s="20" t="n">
        <v>0.0164195999764291</v>
      </c>
    </row>
    <row r="41" customFormat="false" ht="15" hidden="false" customHeight="false" outlineLevel="0" collapsed="false">
      <c r="A41" s="17" t="s">
        <v>72</v>
      </c>
      <c r="B41" s="6" t="n">
        <v>12153886</v>
      </c>
      <c r="C41" s="20" t="n">
        <v>0.015689207216833</v>
      </c>
    </row>
    <row r="42" customFormat="false" ht="15" hidden="false" customHeight="false" outlineLevel="0" collapsed="false">
      <c r="A42" s="17" t="s">
        <v>54</v>
      </c>
      <c r="B42" s="6" t="n">
        <v>11226935</v>
      </c>
      <c r="C42" s="20" t="n">
        <v>0.0144926247971155</v>
      </c>
    </row>
    <row r="43" customFormat="false" ht="15" hidden="false" customHeight="false" outlineLevel="0" collapsed="false">
      <c r="A43" s="17" t="s">
        <v>182</v>
      </c>
      <c r="B43" s="6" t="n">
        <v>11084778</v>
      </c>
      <c r="C43" s="20" t="n">
        <v>0.0143091171823227</v>
      </c>
    </row>
    <row r="44" customFormat="false" ht="15" hidden="false" customHeight="false" outlineLevel="0" collapsed="false">
      <c r="A44" s="17" t="s">
        <v>183</v>
      </c>
      <c r="B44" s="6" t="n">
        <v>9238601</v>
      </c>
      <c r="C44" s="20" t="n">
        <v>0.0119259243901613</v>
      </c>
    </row>
    <row r="45" customFormat="false" ht="15" hidden="false" customHeight="false" outlineLevel="0" collapsed="false">
      <c r="A45" s="17" t="s">
        <v>184</v>
      </c>
      <c r="B45" s="6" t="n">
        <v>8720419</v>
      </c>
      <c r="C45" s="20" t="n">
        <v>0.0112570136587267</v>
      </c>
    </row>
    <row r="46" customFormat="false" ht="15" hidden="false" customHeight="false" outlineLevel="0" collapsed="false">
      <c r="A46" s="17" t="s">
        <v>185</v>
      </c>
      <c r="B46" s="6" t="n">
        <v>8410942</v>
      </c>
      <c r="C46" s="20" t="n">
        <v>0.0108575160180673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2026-03-31T03:35:59Z</dcterms:created>
  <dc:creator>openpyxl</dc:creator>
  <dc:description/>
  <dc:language>en-US</dc:language>
  <cp:lastModifiedBy/>
  <dcterms:modified xsi:type="dcterms:W3CDTF">2026-03-31T03:36:03Z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